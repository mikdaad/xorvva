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YCLOUD-AJKD4U\Public\Operation Comm\ADMIN - Documents\1. OPERATIONS REPORTS\2026\6. June 2026\"/>
    </mc:Choice>
  </mc:AlternateContent>
  <xr:revisionPtr revIDLastSave="0" documentId="13_ncr:1_{419B96A9-1844-4DE1-B1FC-34B0AC2AC786}" xr6:coauthVersionLast="47" xr6:coauthVersionMax="47" xr10:uidLastSave="{00000000-0000-0000-0000-000000000000}"/>
  <bookViews>
    <workbookView xWindow="-120" yWindow="-120" windowWidth="20730" windowHeight="11160" tabRatio="906" firstSheet="1" activeTab="4" xr2:uid="{25D7F864-5DDB-494D-A610-5925E653B8BC}"/>
  </bookViews>
  <sheets>
    <sheet name="MAY 2024 - Working File " sheetId="1" state="hidden" r:id="rId1"/>
    <sheet name="JUNE Working File  (2)" sheetId="2" r:id="rId2"/>
    <sheet name="ID" sheetId="63" r:id="rId3"/>
    <sheet name="Mistake" sheetId="68" r:id="rId4"/>
    <sheet name="Monthly Report" sheetId="69" r:id="rId5"/>
    <sheet name="Time sheet - all" sheetId="70" r:id="rId6"/>
    <sheet name="SL" sheetId="71" r:id="rId7"/>
  </sheets>
  <externalReferences>
    <externalReference r:id="rId8"/>
    <externalReference r:id="rId9"/>
    <externalReference r:id="rId10"/>
  </externalReferences>
  <definedNames>
    <definedName name="_xlnm._FilterDatabase" localSheetId="1" hidden="1">'JUNE Working File  (2)'!$A$2:$AB$2</definedName>
    <definedName name="_xlnm._FilterDatabase" localSheetId="0" hidden="1">'MAY 2024 - Working File '!$A$1:$AA$195</definedName>
    <definedName name="RoomList">[1]!RoomLookup[#Data]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8" i="69" l="1"/>
  <c r="A127" i="69"/>
  <c r="A126" i="69"/>
  <c r="A125" i="69"/>
  <c r="A124" i="69"/>
  <c r="A123" i="69"/>
  <c r="A122" i="69"/>
  <c r="A121" i="69"/>
  <c r="A120" i="69"/>
  <c r="A119" i="69"/>
  <c r="A118" i="69"/>
  <c r="A117" i="69"/>
  <c r="A116" i="69"/>
  <c r="A115" i="69"/>
  <c r="A114" i="69"/>
  <c r="A113" i="69"/>
  <c r="A112" i="69"/>
  <c r="A111" i="69"/>
  <c r="A110" i="69"/>
  <c r="A109" i="69"/>
  <c r="A108" i="69"/>
  <c r="A107" i="69"/>
  <c r="A106" i="69"/>
  <c r="A105" i="69"/>
  <c r="A104" i="69"/>
  <c r="A103" i="69"/>
  <c r="A102" i="69"/>
  <c r="A101" i="69"/>
  <c r="A100" i="69"/>
  <c r="A99" i="69"/>
  <c r="A98" i="69"/>
  <c r="A97" i="69"/>
  <c r="A96" i="69"/>
  <c r="A95" i="69"/>
  <c r="A94" i="69"/>
  <c r="A93" i="69"/>
  <c r="A92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65" i="69"/>
  <c r="A64" i="69"/>
  <c r="A63" i="69"/>
  <c r="A62" i="69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C16" i="63" l="1"/>
  <c r="C12" i="63"/>
  <c r="C15" i="63"/>
  <c r="C35" i="63"/>
  <c r="C34" i="63"/>
  <c r="C32" i="63"/>
  <c r="C31" i="63"/>
  <c r="C30" i="63"/>
  <c r="C29" i="63"/>
  <c r="C28" i="63"/>
  <c r="C27" i="63"/>
  <c r="C26" i="63"/>
  <c r="C25" i="63"/>
  <c r="C24" i="63"/>
  <c r="C23" i="63"/>
  <c r="C22" i="63"/>
  <c r="C21" i="63"/>
  <c r="C20" i="63"/>
  <c r="C19" i="63"/>
  <c r="C18" i="63"/>
  <c r="C17" i="63"/>
  <c r="C13" i="63"/>
  <c r="AE126" i="2"/>
  <c r="AD126" i="2"/>
  <c r="AC126" i="2"/>
  <c r="AA126" i="2"/>
  <c r="Z126" i="2"/>
  <c r="W126" i="2"/>
  <c r="S126" i="2"/>
  <c r="O126" i="2"/>
  <c r="M126" i="2"/>
  <c r="J126" i="2"/>
  <c r="I126" i="2"/>
  <c r="G126" i="2"/>
  <c r="F126" i="2"/>
  <c r="E126" i="2"/>
  <c r="X125" i="2"/>
  <c r="T125" i="2"/>
  <c r="R125" i="2"/>
  <c r="P125" i="2"/>
  <c r="N125" i="2"/>
  <c r="K125" i="2"/>
  <c r="Y125" i="2" s="1"/>
  <c r="H125" i="2"/>
  <c r="X124" i="2"/>
  <c r="T124" i="2"/>
  <c r="R124" i="2"/>
  <c r="P124" i="2"/>
  <c r="N124" i="2"/>
  <c r="L124" i="2"/>
  <c r="K124" i="2"/>
  <c r="Y124" i="2" s="1"/>
  <c r="H124" i="2"/>
  <c r="T123" i="2"/>
  <c r="R123" i="2"/>
  <c r="P123" i="2"/>
  <c r="N123" i="2"/>
  <c r="L123" i="2"/>
  <c r="K123" i="2"/>
  <c r="H123" i="2"/>
  <c r="Y122" i="2"/>
  <c r="X122" i="2"/>
  <c r="T122" i="2"/>
  <c r="R122" i="2"/>
  <c r="P122" i="2"/>
  <c r="N122" i="2"/>
  <c r="K122" i="2"/>
  <c r="L122" i="2" s="1"/>
  <c r="H122" i="2"/>
  <c r="X121" i="2"/>
  <c r="T121" i="2"/>
  <c r="R121" i="2"/>
  <c r="P121" i="2"/>
  <c r="N121" i="2"/>
  <c r="L121" i="2"/>
  <c r="K121" i="2"/>
  <c r="Y121" i="2" s="1"/>
  <c r="H121" i="2"/>
  <c r="T120" i="2"/>
  <c r="R120" i="2"/>
  <c r="P120" i="2"/>
  <c r="N120" i="2"/>
  <c r="K120" i="2"/>
  <c r="H120" i="2"/>
  <c r="Y119" i="2"/>
  <c r="X119" i="2"/>
  <c r="T119" i="2"/>
  <c r="R119" i="2"/>
  <c r="P119" i="2"/>
  <c r="N119" i="2"/>
  <c r="K119" i="2"/>
  <c r="L119" i="2" s="1"/>
  <c r="H119" i="2"/>
  <c r="X118" i="2"/>
  <c r="T118" i="2"/>
  <c r="R118" i="2"/>
  <c r="P118" i="2"/>
  <c r="N118" i="2"/>
  <c r="L118" i="2"/>
  <c r="K118" i="2"/>
  <c r="Y118" i="2" s="1"/>
  <c r="H118" i="2"/>
  <c r="U117" i="2"/>
  <c r="T117" i="2"/>
  <c r="R117" i="2"/>
  <c r="P117" i="2"/>
  <c r="N117" i="2"/>
  <c r="K117" i="2"/>
  <c r="H117" i="2"/>
  <c r="Y116" i="2"/>
  <c r="X116" i="2"/>
  <c r="T116" i="2"/>
  <c r="R116" i="2"/>
  <c r="P116" i="2"/>
  <c r="N116" i="2"/>
  <c r="L116" i="2"/>
  <c r="K116" i="2"/>
  <c r="U116" i="2" s="1"/>
  <c r="V116" i="2" s="1"/>
  <c r="H116" i="2"/>
  <c r="Y115" i="2"/>
  <c r="T115" i="2"/>
  <c r="R115" i="2"/>
  <c r="P115" i="2"/>
  <c r="N115" i="2"/>
  <c r="L115" i="2"/>
  <c r="K115" i="2"/>
  <c r="X115" i="2" s="1"/>
  <c r="H115" i="2"/>
  <c r="T114" i="2"/>
  <c r="R114" i="2"/>
  <c r="P114" i="2"/>
  <c r="N114" i="2"/>
  <c r="K114" i="2"/>
  <c r="U114" i="2" s="1"/>
  <c r="V114" i="2" s="1"/>
  <c r="H114" i="2"/>
  <c r="Y113" i="2"/>
  <c r="X113" i="2"/>
  <c r="T113" i="2"/>
  <c r="R113" i="2"/>
  <c r="P113" i="2"/>
  <c r="N113" i="2"/>
  <c r="L113" i="2"/>
  <c r="K113" i="2"/>
  <c r="U113" i="2" s="1"/>
  <c r="V113" i="2" s="1"/>
  <c r="H113" i="2"/>
  <c r="Y112" i="2"/>
  <c r="T112" i="2"/>
  <c r="R112" i="2"/>
  <c r="P112" i="2"/>
  <c r="N112" i="2"/>
  <c r="L112" i="2"/>
  <c r="K112" i="2"/>
  <c r="X112" i="2" s="1"/>
  <c r="H112" i="2"/>
  <c r="Y111" i="2"/>
  <c r="T111" i="2"/>
  <c r="R111" i="2"/>
  <c r="P111" i="2"/>
  <c r="N111" i="2"/>
  <c r="K111" i="2"/>
  <c r="X111" i="2" s="1"/>
  <c r="H111" i="2"/>
  <c r="T110" i="2"/>
  <c r="R110" i="2"/>
  <c r="P110" i="2"/>
  <c r="N110" i="2"/>
  <c r="L110" i="2"/>
  <c r="K110" i="2"/>
  <c r="H110" i="2"/>
  <c r="Y109" i="2"/>
  <c r="X109" i="2"/>
  <c r="T109" i="2"/>
  <c r="R109" i="2"/>
  <c r="P109" i="2"/>
  <c r="N109" i="2"/>
  <c r="K109" i="2"/>
  <c r="L109" i="2" s="1"/>
  <c r="H109" i="2"/>
  <c r="X108" i="2"/>
  <c r="T108" i="2"/>
  <c r="R108" i="2"/>
  <c r="P108" i="2"/>
  <c r="N108" i="2"/>
  <c r="L108" i="2"/>
  <c r="K108" i="2"/>
  <c r="Y108" i="2" s="1"/>
  <c r="H108" i="2"/>
  <c r="T107" i="2"/>
  <c r="R107" i="2"/>
  <c r="P107" i="2"/>
  <c r="N107" i="2"/>
  <c r="K107" i="2"/>
  <c r="H107" i="2"/>
  <c r="Y106" i="2"/>
  <c r="X106" i="2"/>
  <c r="T106" i="2"/>
  <c r="R106" i="2"/>
  <c r="P106" i="2"/>
  <c r="N106" i="2"/>
  <c r="L106" i="2"/>
  <c r="K106" i="2"/>
  <c r="U106" i="2" s="1"/>
  <c r="V106" i="2" s="1"/>
  <c r="H106" i="2"/>
  <c r="Y105" i="2"/>
  <c r="T105" i="2"/>
  <c r="R105" i="2"/>
  <c r="P105" i="2"/>
  <c r="N105" i="2"/>
  <c r="L105" i="2"/>
  <c r="K105" i="2"/>
  <c r="X105" i="2" s="1"/>
  <c r="H105" i="2"/>
  <c r="U104" i="2"/>
  <c r="V104" i="2" s="1"/>
  <c r="T104" i="2"/>
  <c r="R104" i="2"/>
  <c r="P104" i="2"/>
  <c r="N104" i="2"/>
  <c r="K104" i="2"/>
  <c r="H104" i="2"/>
  <c r="Y103" i="2"/>
  <c r="X103" i="2"/>
  <c r="T103" i="2"/>
  <c r="R103" i="2"/>
  <c r="P103" i="2"/>
  <c r="N103" i="2"/>
  <c r="L103" i="2"/>
  <c r="K103" i="2"/>
  <c r="U103" i="2" s="1"/>
  <c r="V103" i="2" s="1"/>
  <c r="H103" i="2"/>
  <c r="Y102" i="2"/>
  <c r="T102" i="2"/>
  <c r="R102" i="2"/>
  <c r="P102" i="2"/>
  <c r="N102" i="2"/>
  <c r="L102" i="2"/>
  <c r="K102" i="2"/>
  <c r="X102" i="2" s="1"/>
  <c r="H102" i="2"/>
  <c r="T101" i="2"/>
  <c r="R101" i="2"/>
  <c r="P101" i="2"/>
  <c r="N101" i="2"/>
  <c r="K101" i="2"/>
  <c r="H101" i="2"/>
  <c r="U100" i="2"/>
  <c r="T100" i="2"/>
  <c r="R100" i="2"/>
  <c r="P100" i="2"/>
  <c r="N100" i="2"/>
  <c r="K100" i="2"/>
  <c r="H100" i="2"/>
  <c r="Y99" i="2"/>
  <c r="X99" i="2"/>
  <c r="T99" i="2"/>
  <c r="R99" i="2"/>
  <c r="P99" i="2"/>
  <c r="N99" i="2"/>
  <c r="L99" i="2"/>
  <c r="K99" i="2"/>
  <c r="U99" i="2" s="1"/>
  <c r="H99" i="2"/>
  <c r="Y98" i="2"/>
  <c r="T98" i="2"/>
  <c r="R98" i="2"/>
  <c r="P98" i="2"/>
  <c r="N98" i="2"/>
  <c r="L98" i="2"/>
  <c r="K98" i="2"/>
  <c r="X98" i="2" s="1"/>
  <c r="H98" i="2"/>
  <c r="U97" i="2"/>
  <c r="V97" i="2" s="1"/>
  <c r="T97" i="2"/>
  <c r="R97" i="2"/>
  <c r="P97" i="2"/>
  <c r="N97" i="2"/>
  <c r="K97" i="2"/>
  <c r="H97" i="2"/>
  <c r="Y96" i="2"/>
  <c r="X96" i="2"/>
  <c r="T96" i="2"/>
  <c r="R96" i="2"/>
  <c r="P96" i="2"/>
  <c r="N96" i="2"/>
  <c r="L96" i="2"/>
  <c r="K96" i="2"/>
  <c r="U96" i="2" s="1"/>
  <c r="V96" i="2" s="1"/>
  <c r="H96" i="2"/>
  <c r="Y95" i="2"/>
  <c r="X95" i="2"/>
  <c r="T95" i="2"/>
  <c r="R95" i="2"/>
  <c r="P95" i="2"/>
  <c r="N95" i="2"/>
  <c r="L95" i="2"/>
  <c r="K95" i="2"/>
  <c r="U95" i="2" s="1"/>
  <c r="H95" i="2"/>
  <c r="Y94" i="2"/>
  <c r="T94" i="2"/>
  <c r="R94" i="2"/>
  <c r="P94" i="2"/>
  <c r="N94" i="2"/>
  <c r="L94" i="2"/>
  <c r="K94" i="2"/>
  <c r="X94" i="2" s="1"/>
  <c r="H94" i="2"/>
  <c r="T93" i="2"/>
  <c r="R93" i="2"/>
  <c r="P93" i="2"/>
  <c r="N93" i="2"/>
  <c r="K93" i="2"/>
  <c r="H93" i="2"/>
  <c r="X92" i="2"/>
  <c r="V92" i="2"/>
  <c r="T92" i="2"/>
  <c r="Q92" i="2"/>
  <c r="R92" i="2" s="1"/>
  <c r="P92" i="2"/>
  <c r="N92" i="2"/>
  <c r="K92" i="2"/>
  <c r="U92" i="2" s="1"/>
  <c r="H92" i="2"/>
  <c r="T91" i="2"/>
  <c r="R91" i="2"/>
  <c r="P91" i="2"/>
  <c r="N91" i="2"/>
  <c r="L91" i="2"/>
  <c r="K91" i="2"/>
  <c r="Y91" i="2" s="1"/>
  <c r="H91" i="2"/>
  <c r="T90" i="2"/>
  <c r="R90" i="2"/>
  <c r="P90" i="2"/>
  <c r="N90" i="2"/>
  <c r="K90" i="2"/>
  <c r="H90" i="2"/>
  <c r="Y89" i="2"/>
  <c r="X89" i="2"/>
  <c r="T89" i="2"/>
  <c r="R89" i="2"/>
  <c r="P89" i="2"/>
  <c r="N89" i="2"/>
  <c r="K89" i="2"/>
  <c r="L89" i="2" s="1"/>
  <c r="H89" i="2"/>
  <c r="T88" i="2"/>
  <c r="R88" i="2"/>
  <c r="P88" i="2"/>
  <c r="N88" i="2"/>
  <c r="L88" i="2"/>
  <c r="K88" i="2"/>
  <c r="Y88" i="2" s="1"/>
  <c r="H88" i="2"/>
  <c r="T87" i="2"/>
  <c r="R87" i="2"/>
  <c r="P87" i="2"/>
  <c r="N87" i="2"/>
  <c r="L87" i="2"/>
  <c r="K87" i="2"/>
  <c r="H87" i="2"/>
  <c r="Y86" i="2"/>
  <c r="X86" i="2"/>
  <c r="T86" i="2"/>
  <c r="R86" i="2"/>
  <c r="P86" i="2"/>
  <c r="N86" i="2"/>
  <c r="K86" i="2"/>
  <c r="L86" i="2" s="1"/>
  <c r="H86" i="2"/>
  <c r="T85" i="2"/>
  <c r="R85" i="2"/>
  <c r="P85" i="2"/>
  <c r="N85" i="2"/>
  <c r="L85" i="2"/>
  <c r="K85" i="2"/>
  <c r="Y85" i="2" s="1"/>
  <c r="H85" i="2"/>
  <c r="U84" i="2"/>
  <c r="T84" i="2"/>
  <c r="R84" i="2"/>
  <c r="P84" i="2"/>
  <c r="N84" i="2"/>
  <c r="K84" i="2"/>
  <c r="H84" i="2"/>
  <c r="X83" i="2"/>
  <c r="T83" i="2"/>
  <c r="R83" i="2"/>
  <c r="P83" i="2"/>
  <c r="N83" i="2"/>
  <c r="L83" i="2"/>
  <c r="K83" i="2"/>
  <c r="Y83" i="2" s="1"/>
  <c r="H83" i="2"/>
  <c r="Y82" i="2"/>
  <c r="X82" i="2"/>
  <c r="T82" i="2"/>
  <c r="R82" i="2"/>
  <c r="P82" i="2"/>
  <c r="N82" i="2"/>
  <c r="K82" i="2"/>
  <c r="L82" i="2" s="1"/>
  <c r="H82" i="2"/>
  <c r="T81" i="2"/>
  <c r="R81" i="2"/>
  <c r="P81" i="2"/>
  <c r="N81" i="2"/>
  <c r="L81" i="2"/>
  <c r="K81" i="2"/>
  <c r="Y81" i="2" s="1"/>
  <c r="H81" i="2"/>
  <c r="T80" i="2"/>
  <c r="R80" i="2"/>
  <c r="P80" i="2"/>
  <c r="N80" i="2"/>
  <c r="L80" i="2"/>
  <c r="K80" i="2"/>
  <c r="H80" i="2"/>
  <c r="Y79" i="2"/>
  <c r="X79" i="2"/>
  <c r="T79" i="2"/>
  <c r="R79" i="2"/>
  <c r="P79" i="2"/>
  <c r="N79" i="2"/>
  <c r="K79" i="2"/>
  <c r="L79" i="2" s="1"/>
  <c r="H79" i="2"/>
  <c r="T78" i="2"/>
  <c r="R78" i="2"/>
  <c r="P78" i="2"/>
  <c r="N78" i="2"/>
  <c r="K78" i="2"/>
  <c r="Y78" i="2" s="1"/>
  <c r="H78" i="2"/>
  <c r="T77" i="2"/>
  <c r="R77" i="2"/>
  <c r="P77" i="2"/>
  <c r="N77" i="2"/>
  <c r="K77" i="2"/>
  <c r="Y77" i="2" s="1"/>
  <c r="H77" i="2"/>
  <c r="U76" i="2"/>
  <c r="V76" i="2" s="1"/>
  <c r="T76" i="2"/>
  <c r="R76" i="2"/>
  <c r="P76" i="2"/>
  <c r="N76" i="2"/>
  <c r="K76" i="2"/>
  <c r="H76" i="2"/>
  <c r="Y75" i="2"/>
  <c r="X75" i="2"/>
  <c r="T75" i="2"/>
  <c r="R75" i="2"/>
  <c r="P75" i="2"/>
  <c r="N75" i="2"/>
  <c r="K75" i="2"/>
  <c r="L75" i="2" s="1"/>
  <c r="H75" i="2"/>
  <c r="X74" i="2"/>
  <c r="T74" i="2"/>
  <c r="R74" i="2"/>
  <c r="P74" i="2"/>
  <c r="N74" i="2"/>
  <c r="L74" i="2"/>
  <c r="K74" i="2"/>
  <c r="Y74" i="2" s="1"/>
  <c r="H74" i="2"/>
  <c r="Y73" i="2"/>
  <c r="X73" i="2"/>
  <c r="T73" i="2"/>
  <c r="R73" i="2"/>
  <c r="P73" i="2"/>
  <c r="N73" i="2"/>
  <c r="L73" i="2"/>
  <c r="K73" i="2"/>
  <c r="U73" i="2" s="1"/>
  <c r="H73" i="2"/>
  <c r="Y72" i="2"/>
  <c r="X72" i="2"/>
  <c r="T72" i="2"/>
  <c r="R72" i="2"/>
  <c r="P72" i="2"/>
  <c r="N72" i="2"/>
  <c r="L72" i="2"/>
  <c r="K72" i="2"/>
  <c r="U72" i="2" s="1"/>
  <c r="V72" i="2" s="1"/>
  <c r="H72" i="2"/>
  <c r="T71" i="2"/>
  <c r="R71" i="2"/>
  <c r="P71" i="2"/>
  <c r="N71" i="2"/>
  <c r="K71" i="2"/>
  <c r="H71" i="2"/>
  <c r="X70" i="2"/>
  <c r="T70" i="2"/>
  <c r="R70" i="2"/>
  <c r="P70" i="2"/>
  <c r="N70" i="2"/>
  <c r="L70" i="2"/>
  <c r="K70" i="2"/>
  <c r="Y70" i="2" s="1"/>
  <c r="H70" i="2"/>
  <c r="Y69" i="2"/>
  <c r="X69" i="2"/>
  <c r="T69" i="2"/>
  <c r="R69" i="2"/>
  <c r="P69" i="2"/>
  <c r="N69" i="2"/>
  <c r="L69" i="2"/>
  <c r="K69" i="2"/>
  <c r="U69" i="2" s="1"/>
  <c r="H69" i="2"/>
  <c r="Y68" i="2"/>
  <c r="X68" i="2"/>
  <c r="T68" i="2"/>
  <c r="R68" i="2"/>
  <c r="P68" i="2"/>
  <c r="N68" i="2"/>
  <c r="L68" i="2"/>
  <c r="K68" i="2"/>
  <c r="U68" i="2" s="1"/>
  <c r="V68" i="2" s="1"/>
  <c r="H68" i="2"/>
  <c r="U67" i="2"/>
  <c r="V67" i="2" s="1"/>
  <c r="T67" i="2"/>
  <c r="R67" i="2"/>
  <c r="P67" i="2"/>
  <c r="N67" i="2"/>
  <c r="K67" i="2"/>
  <c r="H67" i="2"/>
  <c r="T66" i="2"/>
  <c r="R66" i="2"/>
  <c r="P66" i="2"/>
  <c r="N66" i="2"/>
  <c r="K66" i="2"/>
  <c r="X66" i="2" s="1"/>
  <c r="H66" i="2"/>
  <c r="AF65" i="2"/>
  <c r="Y65" i="2"/>
  <c r="X65" i="2"/>
  <c r="T65" i="2"/>
  <c r="R65" i="2"/>
  <c r="P65" i="2"/>
  <c r="AB65" i="2" s="1"/>
  <c r="N65" i="2"/>
  <c r="L65" i="2"/>
  <c r="K65" i="2"/>
  <c r="U65" i="2" s="1"/>
  <c r="V65" i="2" s="1"/>
  <c r="H65" i="2"/>
  <c r="Y64" i="2"/>
  <c r="T64" i="2"/>
  <c r="R64" i="2"/>
  <c r="P64" i="2"/>
  <c r="N64" i="2"/>
  <c r="L64" i="2"/>
  <c r="K64" i="2"/>
  <c r="X64" i="2" s="1"/>
  <c r="H64" i="2"/>
  <c r="T63" i="2"/>
  <c r="R63" i="2"/>
  <c r="P63" i="2"/>
  <c r="N63" i="2"/>
  <c r="K63" i="2"/>
  <c r="L63" i="2" s="1"/>
  <c r="H63" i="2"/>
  <c r="Y62" i="2"/>
  <c r="X62" i="2"/>
  <c r="T62" i="2"/>
  <c r="R62" i="2"/>
  <c r="P62" i="2"/>
  <c r="N62" i="2"/>
  <c r="AB62" i="2" s="1"/>
  <c r="AF62" i="2" s="1"/>
  <c r="L62" i="2"/>
  <c r="K62" i="2"/>
  <c r="U62" i="2" s="1"/>
  <c r="V62" i="2" s="1"/>
  <c r="H62" i="2"/>
  <c r="T61" i="2"/>
  <c r="R61" i="2"/>
  <c r="P61" i="2"/>
  <c r="N61" i="2"/>
  <c r="K61" i="2"/>
  <c r="Y61" i="2" s="1"/>
  <c r="H61" i="2"/>
  <c r="X60" i="2"/>
  <c r="T60" i="2"/>
  <c r="R60" i="2"/>
  <c r="P60" i="2"/>
  <c r="N60" i="2"/>
  <c r="L60" i="2"/>
  <c r="K60" i="2"/>
  <c r="U60" i="2" s="1"/>
  <c r="V60" i="2" s="1"/>
  <c r="H60" i="2"/>
  <c r="U59" i="2"/>
  <c r="V59" i="2" s="1"/>
  <c r="T59" i="2"/>
  <c r="R59" i="2"/>
  <c r="P59" i="2"/>
  <c r="N59" i="2"/>
  <c r="K59" i="2"/>
  <c r="H59" i="2"/>
  <c r="U58" i="2"/>
  <c r="V58" i="2" s="1"/>
  <c r="T58" i="2"/>
  <c r="R58" i="2"/>
  <c r="P58" i="2"/>
  <c r="N58" i="2"/>
  <c r="K58" i="2"/>
  <c r="L58" i="2" s="1"/>
  <c r="H58" i="2"/>
  <c r="T57" i="2"/>
  <c r="R57" i="2"/>
  <c r="P57" i="2"/>
  <c r="N57" i="2"/>
  <c r="K57" i="2"/>
  <c r="Y57" i="2" s="1"/>
  <c r="H57" i="2"/>
  <c r="T56" i="2"/>
  <c r="R56" i="2"/>
  <c r="P56" i="2"/>
  <c r="N56" i="2"/>
  <c r="K56" i="2"/>
  <c r="U56" i="2" s="1"/>
  <c r="V56" i="2" s="1"/>
  <c r="H56" i="2"/>
  <c r="T55" i="2"/>
  <c r="R55" i="2"/>
  <c r="P55" i="2"/>
  <c r="N55" i="2"/>
  <c r="K55" i="2"/>
  <c r="Y55" i="2" s="1"/>
  <c r="H55" i="2"/>
  <c r="U54" i="2"/>
  <c r="V54" i="2" s="1"/>
  <c r="T54" i="2"/>
  <c r="R54" i="2"/>
  <c r="P54" i="2"/>
  <c r="N54" i="2"/>
  <c r="K54" i="2"/>
  <c r="Y54" i="2" s="1"/>
  <c r="H54" i="2"/>
  <c r="Y53" i="2"/>
  <c r="T53" i="2"/>
  <c r="R53" i="2"/>
  <c r="P53" i="2"/>
  <c r="N53" i="2"/>
  <c r="AB53" i="2" s="1"/>
  <c r="AF53" i="2" s="1"/>
  <c r="L53" i="2"/>
  <c r="K53" i="2"/>
  <c r="U53" i="2" s="1"/>
  <c r="V53" i="2" s="1"/>
  <c r="H53" i="2"/>
  <c r="Y52" i="2"/>
  <c r="T52" i="2"/>
  <c r="R52" i="2"/>
  <c r="P52" i="2"/>
  <c r="N52" i="2"/>
  <c r="L52" i="2"/>
  <c r="K52" i="2"/>
  <c r="U52" i="2" s="1"/>
  <c r="H52" i="2"/>
  <c r="T51" i="2"/>
  <c r="R51" i="2"/>
  <c r="P51" i="2"/>
  <c r="N51" i="2"/>
  <c r="K51" i="2"/>
  <c r="X51" i="2" s="1"/>
  <c r="H51" i="2"/>
  <c r="T50" i="2"/>
  <c r="R50" i="2"/>
  <c r="P50" i="2"/>
  <c r="N50" i="2"/>
  <c r="K50" i="2"/>
  <c r="Y50" i="2" s="1"/>
  <c r="H50" i="2"/>
  <c r="T49" i="2"/>
  <c r="R49" i="2"/>
  <c r="P49" i="2"/>
  <c r="N49" i="2"/>
  <c r="K49" i="2"/>
  <c r="Y49" i="2" s="1"/>
  <c r="H49" i="2"/>
  <c r="T48" i="2"/>
  <c r="R48" i="2"/>
  <c r="P48" i="2"/>
  <c r="N48" i="2"/>
  <c r="K48" i="2"/>
  <c r="Y48" i="2" s="1"/>
  <c r="H48" i="2"/>
  <c r="U47" i="2"/>
  <c r="V47" i="2" s="1"/>
  <c r="T47" i="2"/>
  <c r="R47" i="2"/>
  <c r="P47" i="2"/>
  <c r="N47" i="2"/>
  <c r="K47" i="2"/>
  <c r="L47" i="2" s="1"/>
  <c r="H47" i="2"/>
  <c r="T46" i="2"/>
  <c r="R46" i="2"/>
  <c r="P46" i="2"/>
  <c r="N46" i="2"/>
  <c r="K46" i="2"/>
  <c r="Y46" i="2" s="1"/>
  <c r="H46" i="2"/>
  <c r="T45" i="2"/>
  <c r="R45" i="2"/>
  <c r="P45" i="2"/>
  <c r="N45" i="2"/>
  <c r="K45" i="2"/>
  <c r="Y45" i="2" s="1"/>
  <c r="H45" i="2"/>
  <c r="T44" i="2"/>
  <c r="R44" i="2"/>
  <c r="P44" i="2"/>
  <c r="N44" i="2"/>
  <c r="K44" i="2"/>
  <c r="Y44" i="2" s="1"/>
  <c r="H44" i="2"/>
  <c r="T43" i="2"/>
  <c r="R43" i="2"/>
  <c r="P43" i="2"/>
  <c r="N43" i="2"/>
  <c r="K43" i="2"/>
  <c r="U43" i="2" s="1"/>
  <c r="V43" i="2" s="1"/>
  <c r="H43" i="2"/>
  <c r="Y42" i="2"/>
  <c r="T42" i="2"/>
  <c r="R42" i="2"/>
  <c r="P42" i="2"/>
  <c r="N42" i="2"/>
  <c r="L42" i="2"/>
  <c r="K42" i="2"/>
  <c r="U42" i="2" s="1"/>
  <c r="V42" i="2" s="1"/>
  <c r="H42" i="2"/>
  <c r="T41" i="2"/>
  <c r="R41" i="2"/>
  <c r="P41" i="2"/>
  <c r="N41" i="2"/>
  <c r="K41" i="2"/>
  <c r="U41" i="2" s="1"/>
  <c r="V41" i="2" s="1"/>
  <c r="H41" i="2"/>
  <c r="T40" i="2"/>
  <c r="R40" i="2"/>
  <c r="P40" i="2"/>
  <c r="N40" i="2"/>
  <c r="K40" i="2"/>
  <c r="H40" i="2"/>
  <c r="Y39" i="2"/>
  <c r="X39" i="2"/>
  <c r="T39" i="2"/>
  <c r="R39" i="2"/>
  <c r="P39" i="2"/>
  <c r="N39" i="2"/>
  <c r="L39" i="2"/>
  <c r="K39" i="2"/>
  <c r="U39" i="2" s="1"/>
  <c r="V39" i="2" s="1"/>
  <c r="H39" i="2"/>
  <c r="Y38" i="2"/>
  <c r="T38" i="2"/>
  <c r="R38" i="2"/>
  <c r="P38" i="2"/>
  <c r="N38" i="2"/>
  <c r="L38" i="2"/>
  <c r="K38" i="2"/>
  <c r="X38" i="2" s="1"/>
  <c r="H38" i="2"/>
  <c r="Y37" i="2"/>
  <c r="X37" i="2"/>
  <c r="T37" i="2"/>
  <c r="R37" i="2"/>
  <c r="P37" i="2"/>
  <c r="N37" i="2"/>
  <c r="K37" i="2"/>
  <c r="L37" i="2" s="1"/>
  <c r="H37" i="2"/>
  <c r="Y36" i="2"/>
  <c r="T36" i="2"/>
  <c r="R36" i="2"/>
  <c r="P36" i="2"/>
  <c r="N36" i="2"/>
  <c r="K36" i="2"/>
  <c r="L36" i="2" s="1"/>
  <c r="H36" i="2"/>
  <c r="Y35" i="2"/>
  <c r="T35" i="2"/>
  <c r="R35" i="2"/>
  <c r="P35" i="2"/>
  <c r="N35" i="2"/>
  <c r="AB35" i="2" s="1"/>
  <c r="AF35" i="2" s="1"/>
  <c r="L35" i="2"/>
  <c r="K35" i="2"/>
  <c r="U35" i="2" s="1"/>
  <c r="V35" i="2" s="1"/>
  <c r="H35" i="2"/>
  <c r="U34" i="2"/>
  <c r="V34" i="2" s="1"/>
  <c r="T34" i="2"/>
  <c r="R34" i="2"/>
  <c r="P34" i="2"/>
  <c r="N34" i="2"/>
  <c r="K34" i="2"/>
  <c r="L34" i="2" s="1"/>
  <c r="H34" i="2"/>
  <c r="X33" i="2"/>
  <c r="T33" i="2"/>
  <c r="R33" i="2"/>
  <c r="P33" i="2"/>
  <c r="N33" i="2"/>
  <c r="K33" i="2"/>
  <c r="Y33" i="2" s="1"/>
  <c r="H33" i="2"/>
  <c r="Y32" i="2"/>
  <c r="T32" i="2"/>
  <c r="R32" i="2"/>
  <c r="P32" i="2"/>
  <c r="N32" i="2"/>
  <c r="L32" i="2"/>
  <c r="AB32" i="2" s="1"/>
  <c r="AF32" i="2" s="1"/>
  <c r="K32" i="2"/>
  <c r="U32" i="2" s="1"/>
  <c r="H32" i="2"/>
  <c r="Y31" i="2"/>
  <c r="T31" i="2"/>
  <c r="R31" i="2"/>
  <c r="P31" i="2"/>
  <c r="N31" i="2"/>
  <c r="L31" i="2"/>
  <c r="K31" i="2"/>
  <c r="U31" i="2" s="1"/>
  <c r="V31" i="2" s="1"/>
  <c r="H31" i="2"/>
  <c r="Y30" i="2"/>
  <c r="T30" i="2"/>
  <c r="R30" i="2"/>
  <c r="P30" i="2"/>
  <c r="N30" i="2"/>
  <c r="AB30" i="2" s="1"/>
  <c r="AF30" i="2" s="1"/>
  <c r="L30" i="2"/>
  <c r="K30" i="2"/>
  <c r="U30" i="2" s="1"/>
  <c r="V30" i="2" s="1"/>
  <c r="H30" i="2"/>
  <c r="Y29" i="2"/>
  <c r="U29" i="2"/>
  <c r="V29" i="2" s="1"/>
  <c r="T29" i="2"/>
  <c r="R29" i="2"/>
  <c r="P29" i="2"/>
  <c r="N29" i="2"/>
  <c r="K29" i="2"/>
  <c r="L29" i="2" s="1"/>
  <c r="H29" i="2"/>
  <c r="T28" i="2"/>
  <c r="R28" i="2"/>
  <c r="P28" i="2"/>
  <c r="N28" i="2"/>
  <c r="L28" i="2"/>
  <c r="K28" i="2"/>
  <c r="Y28" i="2" s="1"/>
  <c r="H28" i="2"/>
  <c r="T27" i="2"/>
  <c r="R27" i="2"/>
  <c r="P27" i="2"/>
  <c r="N27" i="2"/>
  <c r="K27" i="2"/>
  <c r="Y27" i="2" s="1"/>
  <c r="H27" i="2"/>
  <c r="T26" i="2"/>
  <c r="R26" i="2"/>
  <c r="P26" i="2"/>
  <c r="N26" i="2"/>
  <c r="K26" i="2"/>
  <c r="Y26" i="2" s="1"/>
  <c r="H26" i="2"/>
  <c r="T25" i="2"/>
  <c r="R25" i="2"/>
  <c r="P25" i="2"/>
  <c r="N25" i="2"/>
  <c r="K25" i="2"/>
  <c r="Y25" i="2" s="1"/>
  <c r="H25" i="2"/>
  <c r="U24" i="2"/>
  <c r="T24" i="2"/>
  <c r="R24" i="2"/>
  <c r="P24" i="2"/>
  <c r="N24" i="2"/>
  <c r="K24" i="2"/>
  <c r="H24" i="2"/>
  <c r="T23" i="2"/>
  <c r="R23" i="2"/>
  <c r="P23" i="2"/>
  <c r="N23" i="2"/>
  <c r="L23" i="2"/>
  <c r="K23" i="2"/>
  <c r="H23" i="2"/>
  <c r="U22" i="2"/>
  <c r="V22" i="2" s="1"/>
  <c r="T22" i="2"/>
  <c r="R22" i="2"/>
  <c r="P22" i="2"/>
  <c r="N22" i="2"/>
  <c r="K22" i="2"/>
  <c r="L22" i="2" s="1"/>
  <c r="H22" i="2"/>
  <c r="X21" i="2"/>
  <c r="T21" i="2"/>
  <c r="R21" i="2"/>
  <c r="P21" i="2"/>
  <c r="N21" i="2"/>
  <c r="K21" i="2"/>
  <c r="Y21" i="2" s="1"/>
  <c r="H21" i="2"/>
  <c r="T20" i="2"/>
  <c r="R20" i="2"/>
  <c r="P20" i="2"/>
  <c r="N20" i="2"/>
  <c r="K20" i="2"/>
  <c r="U20" i="2" s="1"/>
  <c r="V20" i="2" s="1"/>
  <c r="H20" i="2"/>
  <c r="T19" i="2"/>
  <c r="R19" i="2"/>
  <c r="P19" i="2"/>
  <c r="N19" i="2"/>
  <c r="K19" i="2"/>
  <c r="Y19" i="2" s="1"/>
  <c r="H19" i="2"/>
  <c r="Y18" i="2"/>
  <c r="T18" i="2"/>
  <c r="R18" i="2"/>
  <c r="P18" i="2"/>
  <c r="N18" i="2"/>
  <c r="L18" i="2"/>
  <c r="K18" i="2"/>
  <c r="U18" i="2" s="1"/>
  <c r="V18" i="2" s="1"/>
  <c r="H18" i="2"/>
  <c r="Y17" i="2"/>
  <c r="T17" i="2"/>
  <c r="R17" i="2"/>
  <c r="P17" i="2"/>
  <c r="N17" i="2"/>
  <c r="K17" i="2"/>
  <c r="L17" i="2" s="1"/>
  <c r="H17" i="2"/>
  <c r="U16" i="2"/>
  <c r="V16" i="2" s="1"/>
  <c r="T16" i="2"/>
  <c r="R16" i="2"/>
  <c r="P16" i="2"/>
  <c r="N16" i="2"/>
  <c r="K16" i="2"/>
  <c r="H16" i="2"/>
  <c r="T15" i="2"/>
  <c r="R15" i="2"/>
  <c r="P15" i="2"/>
  <c r="N15" i="2"/>
  <c r="L15" i="2"/>
  <c r="K15" i="2"/>
  <c r="Y15" i="2" s="1"/>
  <c r="H15" i="2"/>
  <c r="T14" i="2"/>
  <c r="R14" i="2"/>
  <c r="P14" i="2"/>
  <c r="N14" i="2"/>
  <c r="K14" i="2"/>
  <c r="Y14" i="2" s="1"/>
  <c r="H14" i="2"/>
  <c r="Y13" i="2"/>
  <c r="T13" i="2"/>
  <c r="R13" i="2"/>
  <c r="P13" i="2"/>
  <c r="N13" i="2"/>
  <c r="L13" i="2"/>
  <c r="K13" i="2"/>
  <c r="U13" i="2" s="1"/>
  <c r="V13" i="2" s="1"/>
  <c r="H13" i="2"/>
  <c r="Y12" i="2"/>
  <c r="T12" i="2"/>
  <c r="R12" i="2"/>
  <c r="P12" i="2"/>
  <c r="N12" i="2"/>
  <c r="L12" i="2"/>
  <c r="AB12" i="2" s="1"/>
  <c r="AF12" i="2" s="1"/>
  <c r="K12" i="2"/>
  <c r="U12" i="2" s="1"/>
  <c r="H12" i="2"/>
  <c r="Y11" i="2"/>
  <c r="X11" i="2"/>
  <c r="T11" i="2"/>
  <c r="R11" i="2"/>
  <c r="AB11" i="2" s="1"/>
  <c r="AF11" i="2" s="1"/>
  <c r="P11" i="2"/>
  <c r="N11" i="2"/>
  <c r="L11" i="2"/>
  <c r="K11" i="2"/>
  <c r="U11" i="2" s="1"/>
  <c r="V11" i="2" s="1"/>
  <c r="H11" i="2"/>
  <c r="U10" i="2"/>
  <c r="V10" i="2" s="1"/>
  <c r="T10" i="2"/>
  <c r="R10" i="2"/>
  <c r="P10" i="2"/>
  <c r="N10" i="2"/>
  <c r="K10" i="2"/>
  <c r="H10" i="2"/>
  <c r="X9" i="2"/>
  <c r="T9" i="2"/>
  <c r="R9" i="2"/>
  <c r="P9" i="2"/>
  <c r="N9" i="2"/>
  <c r="L9" i="2"/>
  <c r="AB9" i="2" s="1"/>
  <c r="AF9" i="2" s="1"/>
  <c r="K9" i="2"/>
  <c r="Y9" i="2" s="1"/>
  <c r="H9" i="2"/>
  <c r="T8" i="2"/>
  <c r="R8" i="2"/>
  <c r="P8" i="2"/>
  <c r="N8" i="2"/>
  <c r="K8" i="2"/>
  <c r="U8" i="2" s="1"/>
  <c r="V8" i="2" s="1"/>
  <c r="H8" i="2"/>
  <c r="Y7" i="2"/>
  <c r="X7" i="2"/>
  <c r="T7" i="2"/>
  <c r="R7" i="2"/>
  <c r="P7" i="2"/>
  <c r="N7" i="2"/>
  <c r="K7" i="2"/>
  <c r="L7" i="2" s="1"/>
  <c r="H7" i="2"/>
  <c r="AB6" i="2"/>
  <c r="AF6" i="2" s="1"/>
  <c r="Y6" i="2"/>
  <c r="T6" i="2"/>
  <c r="R6" i="2"/>
  <c r="P6" i="2"/>
  <c r="N6" i="2"/>
  <c r="L6" i="2"/>
  <c r="K6" i="2"/>
  <c r="U6" i="2" s="1"/>
  <c r="V6" i="2" s="1"/>
  <c r="H6" i="2"/>
  <c r="U5" i="2"/>
  <c r="V5" i="2" s="1"/>
  <c r="T5" i="2"/>
  <c r="R5" i="2"/>
  <c r="P5" i="2"/>
  <c r="N5" i="2"/>
  <c r="K5" i="2"/>
  <c r="H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T4" i="2"/>
  <c r="R4" i="2"/>
  <c r="P4" i="2"/>
  <c r="N4" i="2"/>
  <c r="K4" i="2"/>
  <c r="Y4" i="2" s="1"/>
  <c r="H4" i="2"/>
  <c r="A4" i="2"/>
  <c r="Y3" i="2"/>
  <c r="T3" i="2"/>
  <c r="R3" i="2"/>
  <c r="P3" i="2"/>
  <c r="N3" i="2"/>
  <c r="L3" i="2"/>
  <c r="K3" i="2"/>
  <c r="H3" i="2"/>
  <c r="AB31" i="2" l="1"/>
  <c r="AF31" i="2" s="1"/>
  <c r="AB13" i="2"/>
  <c r="AF13" i="2" s="1"/>
  <c r="AB18" i="2"/>
  <c r="AF18" i="2" s="1"/>
  <c r="N126" i="2"/>
  <c r="U14" i="2"/>
  <c r="V14" i="2" s="1"/>
  <c r="U26" i="2"/>
  <c r="AB38" i="2"/>
  <c r="AF38" i="2" s="1"/>
  <c r="Y40" i="2"/>
  <c r="X40" i="2"/>
  <c r="U40" i="2"/>
  <c r="V40" i="2" s="1"/>
  <c r="Y101" i="2"/>
  <c r="X101" i="2"/>
  <c r="L101" i="2"/>
  <c r="U101" i="2"/>
  <c r="V101" i="2" s="1"/>
  <c r="P126" i="2"/>
  <c r="Y5" i="2"/>
  <c r="L5" i="2"/>
  <c r="AB5" i="2" s="1"/>
  <c r="AF5" i="2" s="1"/>
  <c r="L8" i="2"/>
  <c r="AB8" i="2" s="1"/>
  <c r="AF8" i="2" s="1"/>
  <c r="L14" i="2"/>
  <c r="AB14" i="2" s="1"/>
  <c r="AF14" i="2" s="1"/>
  <c r="U19" i="2"/>
  <c r="Y20" i="2"/>
  <c r="X22" i="2"/>
  <c r="AB22" i="2" s="1"/>
  <c r="AF22" i="2" s="1"/>
  <c r="L26" i="2"/>
  <c r="AB26" i="2" s="1"/>
  <c r="AF26" i="2" s="1"/>
  <c r="L40" i="2"/>
  <c r="AB42" i="2"/>
  <c r="AF42" i="2" s="1"/>
  <c r="X59" i="2"/>
  <c r="Y59" i="2"/>
  <c r="L59" i="2"/>
  <c r="Y8" i="2"/>
  <c r="Y126" i="2" s="1"/>
  <c r="Y10" i="2"/>
  <c r="L10" i="2"/>
  <c r="AB10" i="2" s="1"/>
  <c r="AF10" i="2" s="1"/>
  <c r="Y16" i="2"/>
  <c r="X16" i="2"/>
  <c r="L16" i="2"/>
  <c r="L19" i="2"/>
  <c r="AB19" i="2" s="1"/>
  <c r="AF19" i="2" s="1"/>
  <c r="Y22" i="2"/>
  <c r="Y24" i="2"/>
  <c r="L24" i="2"/>
  <c r="AB24" i="2" s="1"/>
  <c r="AF24" i="2" s="1"/>
  <c r="AB52" i="2"/>
  <c r="AF52" i="2" s="1"/>
  <c r="X67" i="2"/>
  <c r="L67" i="2"/>
  <c r="AB67" i="2" s="1"/>
  <c r="AF67" i="2" s="1"/>
  <c r="Y67" i="2"/>
  <c r="X71" i="2"/>
  <c r="L71" i="2"/>
  <c r="AB71" i="2" s="1"/>
  <c r="AF71" i="2" s="1"/>
  <c r="U71" i="2"/>
  <c r="Y71" i="2"/>
  <c r="L20" i="2"/>
  <c r="AB20" i="2" s="1"/>
  <c r="AF20" i="2" s="1"/>
  <c r="U4" i="2"/>
  <c r="V4" i="2" s="1"/>
  <c r="U21" i="2"/>
  <c r="V21" i="2" s="1"/>
  <c r="U25" i="2"/>
  <c r="V25" i="2" s="1"/>
  <c r="U27" i="2"/>
  <c r="AB37" i="2"/>
  <c r="AF37" i="2" s="1"/>
  <c r="AB39" i="2"/>
  <c r="AF39" i="2" s="1"/>
  <c r="X41" i="2"/>
  <c r="L41" i="2"/>
  <c r="Y41" i="2"/>
  <c r="L56" i="2"/>
  <c r="Y56" i="2"/>
  <c r="X56" i="2"/>
  <c r="K126" i="2"/>
  <c r="U3" i="2"/>
  <c r="L4" i="2"/>
  <c r="U9" i="2"/>
  <c r="U15" i="2"/>
  <c r="V15" i="2" s="1"/>
  <c r="AB15" i="2" s="1"/>
  <c r="AF15" i="2" s="1"/>
  <c r="L21" i="2"/>
  <c r="Y23" i="2"/>
  <c r="X23" i="2"/>
  <c r="X126" i="2" s="1"/>
  <c r="U23" i="2"/>
  <c r="V23" i="2" s="1"/>
  <c r="L25" i="2"/>
  <c r="L27" i="2"/>
  <c r="AB27" i="2" s="1"/>
  <c r="AF27" i="2" s="1"/>
  <c r="X61" i="2"/>
  <c r="L61" i="2"/>
  <c r="AB61" i="2" s="1"/>
  <c r="AF61" i="2" s="1"/>
  <c r="U61" i="2"/>
  <c r="AB68" i="2"/>
  <c r="AF68" i="2" s="1"/>
  <c r="AB74" i="2"/>
  <c r="AF74" i="2" s="1"/>
  <c r="U49" i="2"/>
  <c r="V49" i="2" s="1"/>
  <c r="U50" i="2"/>
  <c r="V50" i="2" s="1"/>
  <c r="U55" i="2"/>
  <c r="X58" i="2"/>
  <c r="AB58" i="2" s="1"/>
  <c r="AF58" i="2" s="1"/>
  <c r="U66" i="2"/>
  <c r="V66" i="2" s="1"/>
  <c r="AB73" i="2"/>
  <c r="AF73" i="2" s="1"/>
  <c r="AB89" i="2"/>
  <c r="AF89" i="2" s="1"/>
  <c r="AB96" i="2"/>
  <c r="AF96" i="2" s="1"/>
  <c r="L43" i="2"/>
  <c r="AB43" i="2" s="1"/>
  <c r="AF43" i="2" s="1"/>
  <c r="L44" i="2"/>
  <c r="L45" i="2"/>
  <c r="AB45" i="2" s="1"/>
  <c r="AF45" i="2" s="1"/>
  <c r="L46" i="2"/>
  <c r="AB46" i="2" s="1"/>
  <c r="AF46" i="2" s="1"/>
  <c r="Y47" i="2"/>
  <c r="L48" i="2"/>
  <c r="L49" i="2"/>
  <c r="AB49" i="2" s="1"/>
  <c r="AF49" i="2" s="1"/>
  <c r="L50" i="2"/>
  <c r="L51" i="2"/>
  <c r="L54" i="2"/>
  <c r="AB54" i="2" s="1"/>
  <c r="AF54" i="2" s="1"/>
  <c r="L55" i="2"/>
  <c r="AB55" i="2" s="1"/>
  <c r="AF55" i="2" s="1"/>
  <c r="L57" i="2"/>
  <c r="X57" i="2"/>
  <c r="Y58" i="2"/>
  <c r="U63" i="2"/>
  <c r="V63" i="2" s="1"/>
  <c r="AB63" i="2" s="1"/>
  <c r="AF63" i="2" s="1"/>
  <c r="U64" i="2"/>
  <c r="L66" i="2"/>
  <c r="AB83" i="2"/>
  <c r="AF83" i="2" s="1"/>
  <c r="Y87" i="2"/>
  <c r="AB87" i="2" s="1"/>
  <c r="AF87" i="2" s="1"/>
  <c r="X87" i="2"/>
  <c r="U87" i="2"/>
  <c r="V87" i="2" s="1"/>
  <c r="U44" i="2"/>
  <c r="V44" i="2" s="1"/>
  <c r="U45" i="2"/>
  <c r="V45" i="2" s="1"/>
  <c r="U46" i="2"/>
  <c r="V46" i="2" s="1"/>
  <c r="U48" i="2"/>
  <c r="V48" i="2" s="1"/>
  <c r="U51" i="2"/>
  <c r="V51" i="2" s="1"/>
  <c r="R126" i="2"/>
  <c r="U7" i="2"/>
  <c r="V7" i="2" s="1"/>
  <c r="AB7" i="2" s="1"/>
  <c r="AF7" i="2" s="1"/>
  <c r="U17" i="2"/>
  <c r="V17" i="2" s="1"/>
  <c r="AB17" i="2" s="1"/>
  <c r="AF17" i="2" s="1"/>
  <c r="U33" i="2"/>
  <c r="V33" i="2" s="1"/>
  <c r="U36" i="2"/>
  <c r="V36" i="2" s="1"/>
  <c r="AB36" i="2" s="1"/>
  <c r="AF36" i="2" s="1"/>
  <c r="U37" i="2"/>
  <c r="V37" i="2" s="1"/>
  <c r="Y43" i="2"/>
  <c r="Y51" i="2"/>
  <c r="X63" i="2"/>
  <c r="AB64" i="2"/>
  <c r="AF64" i="2" s="1"/>
  <c r="Y66" i="2"/>
  <c r="AB69" i="2"/>
  <c r="AF69" i="2" s="1"/>
  <c r="AB72" i="2"/>
  <c r="AF72" i="2" s="1"/>
  <c r="Y90" i="2"/>
  <c r="X90" i="2"/>
  <c r="U90" i="2"/>
  <c r="V90" i="2" s="1"/>
  <c r="AB98" i="2"/>
  <c r="AF98" i="2" s="1"/>
  <c r="X47" i="2"/>
  <c r="AB47" i="2" s="1"/>
  <c r="AF47" i="2" s="1"/>
  <c r="U57" i="2"/>
  <c r="H126" i="2"/>
  <c r="T126" i="2"/>
  <c r="U28" i="2"/>
  <c r="V28" i="2" s="1"/>
  <c r="AB28" i="2" s="1"/>
  <c r="AF28" i="2" s="1"/>
  <c r="X29" i="2"/>
  <c r="AB29" i="2" s="1"/>
  <c r="AF29" i="2" s="1"/>
  <c r="L33" i="2"/>
  <c r="AB33" i="2" s="1"/>
  <c r="AF33" i="2" s="1"/>
  <c r="Y34" i="2"/>
  <c r="AB34" i="2" s="1"/>
  <c r="AF34" i="2" s="1"/>
  <c r="U38" i="2"/>
  <c r="V38" i="2" s="1"/>
  <c r="Y63" i="2"/>
  <c r="Y76" i="2"/>
  <c r="X76" i="2"/>
  <c r="L76" i="2"/>
  <c r="AB76" i="2" s="1"/>
  <c r="AF76" i="2" s="1"/>
  <c r="L90" i="2"/>
  <c r="Y93" i="2"/>
  <c r="X93" i="2"/>
  <c r="L93" i="2"/>
  <c r="U93" i="2"/>
  <c r="V93" i="2" s="1"/>
  <c r="AB95" i="2"/>
  <c r="Y97" i="2"/>
  <c r="X97" i="2"/>
  <c r="L97" i="2"/>
  <c r="AB97" i="2" s="1"/>
  <c r="AF97" i="2" s="1"/>
  <c r="Y107" i="2"/>
  <c r="X107" i="2"/>
  <c r="L107" i="2"/>
  <c r="AB107" i="2" s="1"/>
  <c r="AF107" i="2" s="1"/>
  <c r="U107" i="2"/>
  <c r="AB113" i="2"/>
  <c r="AF113" i="2" s="1"/>
  <c r="AB82" i="2"/>
  <c r="AF82" i="2" s="1"/>
  <c r="Y100" i="2"/>
  <c r="X100" i="2"/>
  <c r="L100" i="2"/>
  <c r="AB102" i="2"/>
  <c r="AF102" i="2" s="1"/>
  <c r="Y60" i="2"/>
  <c r="AB60" i="2" s="1"/>
  <c r="AF60" i="2" s="1"/>
  <c r="U70" i="2"/>
  <c r="V70" i="2" s="1"/>
  <c r="AB70" i="2" s="1"/>
  <c r="AF70" i="2" s="1"/>
  <c r="U74" i="2"/>
  <c r="V74" i="2" s="1"/>
  <c r="Y80" i="2"/>
  <c r="X80" i="2"/>
  <c r="U80" i="2"/>
  <c r="V80" i="2" s="1"/>
  <c r="AB80" i="2" s="1"/>
  <c r="AF80" i="2" s="1"/>
  <c r="Y84" i="2"/>
  <c r="X84" i="2"/>
  <c r="L84" i="2"/>
  <c r="Y104" i="2"/>
  <c r="X104" i="2"/>
  <c r="L104" i="2"/>
  <c r="Y110" i="2"/>
  <c r="AB110" i="2" s="1"/>
  <c r="AF110" i="2" s="1"/>
  <c r="X110" i="2"/>
  <c r="U110" i="2"/>
  <c r="V110" i="2" s="1"/>
  <c r="Y117" i="2"/>
  <c r="X117" i="2"/>
  <c r="L117" i="2"/>
  <c r="AB119" i="2"/>
  <c r="AF119" i="2" s="1"/>
  <c r="Y123" i="2"/>
  <c r="X123" i="2"/>
  <c r="U123" i="2"/>
  <c r="V123" i="2" s="1"/>
  <c r="AB123" i="2" s="1"/>
  <c r="AF123" i="2" s="1"/>
  <c r="AB106" i="2"/>
  <c r="AF106" i="2" s="1"/>
  <c r="Y114" i="2"/>
  <c r="X114" i="2"/>
  <c r="L114" i="2"/>
  <c r="AB114" i="2" s="1"/>
  <c r="AF114" i="2" s="1"/>
  <c r="Y120" i="2"/>
  <c r="X120" i="2"/>
  <c r="U120" i="2"/>
  <c r="V120" i="2" s="1"/>
  <c r="U83" i="2"/>
  <c r="AB99" i="2"/>
  <c r="AF99" i="2" s="1"/>
  <c r="AB103" i="2"/>
  <c r="AF103" i="2" s="1"/>
  <c r="AB116" i="2"/>
  <c r="AF116" i="2" s="1"/>
  <c r="L120" i="2"/>
  <c r="U77" i="2"/>
  <c r="U81" i="2"/>
  <c r="V81" i="2" s="1"/>
  <c r="U85" i="2"/>
  <c r="V85" i="2" s="1"/>
  <c r="U88" i="2"/>
  <c r="V88" i="2" s="1"/>
  <c r="AB88" i="2" s="1"/>
  <c r="AF88" i="2" s="1"/>
  <c r="U91" i="2"/>
  <c r="V91" i="2" s="1"/>
  <c r="Y92" i="2"/>
  <c r="U108" i="2"/>
  <c r="V108" i="2" s="1"/>
  <c r="AB108" i="2" s="1"/>
  <c r="AF108" i="2" s="1"/>
  <c r="U111" i="2"/>
  <c r="U118" i="2"/>
  <c r="V118" i="2" s="1"/>
  <c r="AB118" i="2" s="1"/>
  <c r="AF118" i="2" s="1"/>
  <c r="U121" i="2"/>
  <c r="V121" i="2" s="1"/>
  <c r="AB121" i="2" s="1"/>
  <c r="AF121" i="2" s="1"/>
  <c r="U124" i="2"/>
  <c r="V124" i="2" s="1"/>
  <c r="AB124" i="2" s="1"/>
  <c r="AF124" i="2" s="1"/>
  <c r="U125" i="2"/>
  <c r="V125" i="2" s="1"/>
  <c r="AB125" i="2" s="1"/>
  <c r="AF125" i="2" s="1"/>
  <c r="Q126" i="2"/>
  <c r="L77" i="2"/>
  <c r="X77" i="2"/>
  <c r="U78" i="2"/>
  <c r="U94" i="2"/>
  <c r="V94" i="2" s="1"/>
  <c r="AB94" i="2" s="1"/>
  <c r="AF94" i="2" s="1"/>
  <c r="U98" i="2"/>
  <c r="V98" i="2" s="1"/>
  <c r="U102" i="2"/>
  <c r="V102" i="2" s="1"/>
  <c r="U105" i="2"/>
  <c r="V105" i="2" s="1"/>
  <c r="AB105" i="2" s="1"/>
  <c r="AF105" i="2" s="1"/>
  <c r="L111" i="2"/>
  <c r="AB111" i="2" s="1"/>
  <c r="AF111" i="2" s="1"/>
  <c r="U112" i="2"/>
  <c r="V112" i="2" s="1"/>
  <c r="AB112" i="2" s="1"/>
  <c r="AF112" i="2" s="1"/>
  <c r="U115" i="2"/>
  <c r="V115" i="2" s="1"/>
  <c r="AB115" i="2" s="1"/>
  <c r="AF115" i="2" s="1"/>
  <c r="U75" i="2"/>
  <c r="V75" i="2" s="1"/>
  <c r="AB75" i="2" s="1"/>
  <c r="AF75" i="2" s="1"/>
  <c r="L78" i="2"/>
  <c r="AB78" i="2" s="1"/>
  <c r="AF78" i="2" s="1"/>
  <c r="X78" i="2"/>
  <c r="U79" i="2"/>
  <c r="V79" i="2" s="1"/>
  <c r="AB79" i="2" s="1"/>
  <c r="AF79" i="2" s="1"/>
  <c r="X81" i="2"/>
  <c r="AB81" i="2" s="1"/>
  <c r="AF81" i="2" s="1"/>
  <c r="U82" i="2"/>
  <c r="V82" i="2" s="1"/>
  <c r="X85" i="2"/>
  <c r="U86" i="2"/>
  <c r="V86" i="2" s="1"/>
  <c r="AB86" i="2" s="1"/>
  <c r="AF86" i="2" s="1"/>
  <c r="X88" i="2"/>
  <c r="U89" i="2"/>
  <c r="V89" i="2" s="1"/>
  <c r="X91" i="2"/>
  <c r="U109" i="2"/>
  <c r="V109" i="2" s="1"/>
  <c r="AB109" i="2" s="1"/>
  <c r="AF109" i="2" s="1"/>
  <c r="U119" i="2"/>
  <c r="V119" i="2" s="1"/>
  <c r="U122" i="2"/>
  <c r="V122" i="2" s="1"/>
  <c r="AB122" i="2" s="1"/>
  <c r="AF122" i="2" s="1"/>
  <c r="L92" i="2"/>
  <c r="AB85" i="2" l="1"/>
  <c r="AF85" i="2" s="1"/>
  <c r="AB84" i="2"/>
  <c r="AF84" i="2" s="1"/>
  <c r="AB100" i="2"/>
  <c r="AF100" i="2" s="1"/>
  <c r="AB51" i="2"/>
  <c r="AF51" i="2" s="1"/>
  <c r="AB25" i="2"/>
  <c r="AF25" i="2" s="1"/>
  <c r="AB59" i="2"/>
  <c r="AF59" i="2" s="1"/>
  <c r="AB92" i="2"/>
  <c r="AF92" i="2" s="1"/>
  <c r="AB77" i="2"/>
  <c r="AF77" i="2" s="1"/>
  <c r="AB90" i="2"/>
  <c r="AF90" i="2" s="1"/>
  <c r="AB50" i="2"/>
  <c r="AF50" i="2" s="1"/>
  <c r="AB44" i="2"/>
  <c r="AF44" i="2" s="1"/>
  <c r="AB23" i="2"/>
  <c r="AF23" i="2" s="1"/>
  <c r="AB4" i="2"/>
  <c r="AF4" i="2" s="1"/>
  <c r="AB56" i="2"/>
  <c r="AF56" i="2" s="1"/>
  <c r="U126" i="2"/>
  <c r="V3" i="2"/>
  <c r="AB120" i="2"/>
  <c r="AF120" i="2" s="1"/>
  <c r="AB117" i="2"/>
  <c r="AF117" i="2" s="1"/>
  <c r="AB104" i="2"/>
  <c r="AF104" i="2" s="1"/>
  <c r="AB57" i="2"/>
  <c r="AF57" i="2" s="1"/>
  <c r="AB48" i="2"/>
  <c r="AF48" i="2" s="1"/>
  <c r="L126" i="2"/>
  <c r="AB41" i="2"/>
  <c r="AF41" i="2" s="1"/>
  <c r="AB16" i="2"/>
  <c r="AF16" i="2" s="1"/>
  <c r="AB91" i="2"/>
  <c r="AF91" i="2" s="1"/>
  <c r="AB93" i="2"/>
  <c r="AF93" i="2" s="1"/>
  <c r="AB66" i="2"/>
  <c r="AF66" i="2" s="1"/>
  <c r="AB21" i="2"/>
  <c r="AF21" i="2" s="1"/>
  <c r="AB40" i="2"/>
  <c r="AF40" i="2" s="1"/>
  <c r="AB101" i="2"/>
  <c r="AF101" i="2" s="1"/>
  <c r="V126" i="2" l="1"/>
  <c r="AB3" i="2"/>
  <c r="AB126" i="2" l="1"/>
  <c r="AF3" i="2"/>
  <c r="AF126" i="2" s="1"/>
  <c r="C33" i="63" l="1"/>
  <c r="N187" i="1" l="1"/>
  <c r="N188" i="1"/>
  <c r="N189" i="1"/>
  <c r="N190" i="1"/>
  <c r="N191" i="1"/>
  <c r="N192" i="1"/>
  <c r="N193" i="1"/>
  <c r="N194" i="1"/>
  <c r="N195" i="1"/>
  <c r="L187" i="1"/>
  <c r="L188" i="1"/>
  <c r="L189" i="1"/>
  <c r="L190" i="1"/>
  <c r="L191" i="1"/>
  <c r="L192" i="1"/>
  <c r="L193" i="1"/>
  <c r="L194" i="1"/>
  <c r="L195" i="1"/>
  <c r="I187" i="1"/>
  <c r="J187" i="1" s="1"/>
  <c r="AA187" i="1" s="1"/>
  <c r="I188" i="1"/>
  <c r="J188" i="1" s="1"/>
  <c r="AA188" i="1" s="1"/>
  <c r="I189" i="1"/>
  <c r="I190" i="1"/>
  <c r="Q190" i="1" s="1"/>
  <c r="S190" i="1" s="1"/>
  <c r="I191" i="1"/>
  <c r="Q191" i="1" s="1"/>
  <c r="S191" i="1" s="1"/>
  <c r="I192" i="1"/>
  <c r="J192" i="1" s="1"/>
  <c r="AA192" i="1" s="1"/>
  <c r="I193" i="1"/>
  <c r="J193" i="1" s="1"/>
  <c r="AA193" i="1" s="1"/>
  <c r="I194" i="1"/>
  <c r="Q194" i="1" s="1"/>
  <c r="S194" i="1" s="1"/>
  <c r="I195" i="1"/>
  <c r="J194" i="1" l="1"/>
  <c r="J191" i="1"/>
  <c r="J195" i="1"/>
  <c r="Q195" i="1"/>
  <c r="S195" i="1" s="1"/>
  <c r="J189" i="1"/>
  <c r="Q189" i="1"/>
  <c r="S189" i="1" s="1"/>
  <c r="J190" i="1"/>
  <c r="Q188" i="1"/>
  <c r="S188" i="1" s="1"/>
  <c r="X188" i="1" s="1"/>
  <c r="Q193" i="1"/>
  <c r="S193" i="1" s="1"/>
  <c r="X193" i="1" s="1"/>
  <c r="Q187" i="1"/>
  <c r="S187" i="1" s="1"/>
  <c r="X187" i="1" s="1"/>
  <c r="Q192" i="1"/>
  <c r="S192" i="1" s="1"/>
  <c r="X192" i="1" s="1"/>
  <c r="X194" i="1" l="1"/>
  <c r="AA194" i="1"/>
  <c r="AA191" i="1"/>
  <c r="X191" i="1"/>
  <c r="AA195" i="1"/>
  <c r="X195" i="1"/>
  <c r="AA190" i="1"/>
  <c r="X190" i="1"/>
  <c r="AA189" i="1"/>
  <c r="X189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2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2" i="1"/>
  <c r="N164" i="1"/>
  <c r="N55" i="1" l="1"/>
  <c r="L49" i="1"/>
  <c r="L50" i="1"/>
  <c r="N57" i="1"/>
  <c r="N35" i="1"/>
  <c r="N153" i="1"/>
  <c r="N43" i="1"/>
  <c r="N18" i="1"/>
  <c r="P10" i="1"/>
  <c r="N10" i="1"/>
  <c r="N127" i="1"/>
  <c r="P86" i="1"/>
  <c r="N86" i="1"/>
  <c r="L86" i="1"/>
  <c r="P32" i="1" l="1"/>
  <c r="N32" i="1"/>
  <c r="N81" i="1" l="1"/>
  <c r="P166" i="1"/>
  <c r="N166" i="1"/>
  <c r="L166" i="1"/>
  <c r="I166" i="1"/>
  <c r="Q166" i="1" l="1"/>
  <c r="S166" i="1" s="1"/>
  <c r="J166" i="1"/>
  <c r="AA166" i="1" s="1"/>
  <c r="X166" i="1" l="1"/>
  <c r="AB166" i="1" s="1"/>
  <c r="AC166" i="1" s="1"/>
  <c r="AD166" i="1" s="1"/>
  <c r="P157" i="1" l="1"/>
  <c r="N157" i="1"/>
  <c r="L157" i="1"/>
  <c r="I157" i="1"/>
  <c r="Q157" i="1" l="1"/>
  <c r="S157" i="1" s="1"/>
  <c r="J157" i="1"/>
  <c r="AA157" i="1" s="1"/>
  <c r="L44" i="1"/>
  <c r="N44" i="1"/>
  <c r="P44" i="1"/>
  <c r="I44" i="1"/>
  <c r="P36" i="1"/>
  <c r="N36" i="1"/>
  <c r="L36" i="1"/>
  <c r="I36" i="1"/>
  <c r="Q36" i="1" l="1"/>
  <c r="S36" i="1" s="1"/>
  <c r="J36" i="1"/>
  <c r="AA36" i="1" s="1"/>
  <c r="T44" i="1"/>
  <c r="J44" i="1"/>
  <c r="AA44" i="1" s="1"/>
  <c r="X157" i="1"/>
  <c r="Q44" i="1"/>
  <c r="S44" i="1" s="1"/>
  <c r="X44" i="1" l="1"/>
  <c r="AF44" i="1" s="1"/>
  <c r="AB157" i="1"/>
  <c r="AC157" i="1" s="1"/>
  <c r="AD157" i="1" s="1"/>
  <c r="X36" i="1"/>
  <c r="AF36" i="1" s="1"/>
  <c r="AB44" i="1" l="1"/>
  <c r="AC44" i="1" s="1"/>
  <c r="AD44" i="1" s="1"/>
  <c r="AB36" i="1"/>
  <c r="AC36" i="1" l="1"/>
  <c r="L2" i="1"/>
  <c r="AD36" i="1" l="1"/>
  <c r="P93" i="1" l="1"/>
  <c r="S159" i="1"/>
  <c r="S178" i="1"/>
  <c r="S177" i="1"/>
  <c r="S176" i="1"/>
  <c r="I141" i="1"/>
  <c r="J141" i="1" s="1"/>
  <c r="AA141" i="1" s="1"/>
  <c r="L136" i="1"/>
  <c r="L101" i="1" l="1"/>
  <c r="I136" i="1"/>
  <c r="J136" i="1" s="1"/>
  <c r="AA136" i="1" s="1"/>
  <c r="AD136" i="1"/>
  <c r="P73" i="1"/>
  <c r="N73" i="1"/>
  <c r="L73" i="1"/>
  <c r="I73" i="1"/>
  <c r="J73" i="1" s="1"/>
  <c r="AA73" i="1" s="1"/>
  <c r="R136" i="1" l="1"/>
  <c r="Q73" i="1"/>
  <c r="S73" i="1" s="1"/>
  <c r="X136" i="1"/>
  <c r="AF136" i="1" s="1"/>
  <c r="Q136" i="1"/>
  <c r="X73" i="1" l="1"/>
  <c r="AF73" i="1" s="1"/>
  <c r="AC73" i="1" l="1"/>
  <c r="AD73" i="1" s="1"/>
  <c r="P22" i="1"/>
  <c r="N22" i="1"/>
  <c r="L22" i="1"/>
  <c r="I22" i="1"/>
  <c r="Q22" i="1" l="1"/>
  <c r="S22" i="1" s="1"/>
  <c r="J22" i="1"/>
  <c r="AA22" i="1" s="1"/>
  <c r="I93" i="1"/>
  <c r="J93" i="1" s="1"/>
  <c r="I94" i="1"/>
  <c r="J94" i="1" s="1"/>
  <c r="I3" i="1"/>
  <c r="J3" i="1" s="1"/>
  <c r="AA3" i="1" s="1"/>
  <c r="I4" i="1"/>
  <c r="J4" i="1" s="1"/>
  <c r="AA4" i="1" s="1"/>
  <c r="I5" i="1"/>
  <c r="J5" i="1" s="1"/>
  <c r="AA5" i="1" s="1"/>
  <c r="I6" i="1"/>
  <c r="J6" i="1" s="1"/>
  <c r="AA6" i="1" s="1"/>
  <c r="I7" i="1"/>
  <c r="J7" i="1" s="1"/>
  <c r="AA7" i="1" s="1"/>
  <c r="I8" i="1"/>
  <c r="J8" i="1" s="1"/>
  <c r="AA8" i="1" s="1"/>
  <c r="I9" i="1"/>
  <c r="J9" i="1" s="1"/>
  <c r="AA9" i="1" s="1"/>
  <c r="I10" i="1"/>
  <c r="J10" i="1" s="1"/>
  <c r="AA10" i="1" s="1"/>
  <c r="I11" i="1"/>
  <c r="J11" i="1" s="1"/>
  <c r="AA11" i="1" s="1"/>
  <c r="I12" i="1"/>
  <c r="J12" i="1" s="1"/>
  <c r="AA12" i="1" s="1"/>
  <c r="I13" i="1"/>
  <c r="I14" i="1"/>
  <c r="J14" i="1" s="1"/>
  <c r="AA14" i="1" s="1"/>
  <c r="I15" i="1"/>
  <c r="J15" i="1" s="1"/>
  <c r="AA15" i="1" s="1"/>
  <c r="I16" i="1"/>
  <c r="J16" i="1" s="1"/>
  <c r="AA16" i="1" s="1"/>
  <c r="I17" i="1"/>
  <c r="J17" i="1" s="1"/>
  <c r="AA17" i="1" s="1"/>
  <c r="I18" i="1"/>
  <c r="J18" i="1" s="1"/>
  <c r="AA18" i="1" s="1"/>
  <c r="I19" i="1"/>
  <c r="J19" i="1" s="1"/>
  <c r="I20" i="1"/>
  <c r="J20" i="1" s="1"/>
  <c r="AA20" i="1" s="1"/>
  <c r="I21" i="1"/>
  <c r="J21" i="1" s="1"/>
  <c r="AA21" i="1" s="1"/>
  <c r="I23" i="1"/>
  <c r="J23" i="1" s="1"/>
  <c r="AA23" i="1" s="1"/>
  <c r="I24" i="1"/>
  <c r="J24" i="1" s="1"/>
  <c r="AA24" i="1" s="1"/>
  <c r="I25" i="1"/>
  <c r="J25" i="1" s="1"/>
  <c r="AA25" i="1" s="1"/>
  <c r="I26" i="1"/>
  <c r="J26" i="1" s="1"/>
  <c r="AA26" i="1" s="1"/>
  <c r="I27" i="1"/>
  <c r="J27" i="1" s="1"/>
  <c r="AA27" i="1" s="1"/>
  <c r="I28" i="1"/>
  <c r="J28" i="1" s="1"/>
  <c r="AA28" i="1" s="1"/>
  <c r="I29" i="1"/>
  <c r="J29" i="1" s="1"/>
  <c r="AA29" i="1" s="1"/>
  <c r="I30" i="1"/>
  <c r="J30" i="1" s="1"/>
  <c r="AA30" i="1" s="1"/>
  <c r="I31" i="1"/>
  <c r="J31" i="1" s="1"/>
  <c r="AA31" i="1" s="1"/>
  <c r="I32" i="1"/>
  <c r="J32" i="1" s="1"/>
  <c r="AA32" i="1" s="1"/>
  <c r="I33" i="1"/>
  <c r="J33" i="1" s="1"/>
  <c r="AA33" i="1" s="1"/>
  <c r="I34" i="1"/>
  <c r="J34" i="1" s="1"/>
  <c r="AA34" i="1" s="1"/>
  <c r="I35" i="1"/>
  <c r="J35" i="1" s="1"/>
  <c r="AA35" i="1" s="1"/>
  <c r="I37" i="1"/>
  <c r="I38" i="1"/>
  <c r="J38" i="1" s="1"/>
  <c r="AA38" i="1" s="1"/>
  <c r="I39" i="1"/>
  <c r="I40" i="1"/>
  <c r="J40" i="1" s="1"/>
  <c r="AA40" i="1" s="1"/>
  <c r="I41" i="1"/>
  <c r="J41" i="1" s="1"/>
  <c r="AA41" i="1" s="1"/>
  <c r="I42" i="1"/>
  <c r="I43" i="1"/>
  <c r="J43" i="1" s="1"/>
  <c r="AA43" i="1" s="1"/>
  <c r="I45" i="1"/>
  <c r="J45" i="1" s="1"/>
  <c r="AA45" i="1" s="1"/>
  <c r="I46" i="1"/>
  <c r="J46" i="1" s="1"/>
  <c r="AA46" i="1" s="1"/>
  <c r="I47" i="1"/>
  <c r="J47" i="1" s="1"/>
  <c r="AA47" i="1" s="1"/>
  <c r="I48" i="1"/>
  <c r="J48" i="1" s="1"/>
  <c r="AA48" i="1" s="1"/>
  <c r="I49" i="1"/>
  <c r="J49" i="1" s="1"/>
  <c r="AA49" i="1" s="1"/>
  <c r="I50" i="1"/>
  <c r="J50" i="1" s="1"/>
  <c r="AA50" i="1" s="1"/>
  <c r="I51" i="1"/>
  <c r="J51" i="1" s="1"/>
  <c r="AA51" i="1" s="1"/>
  <c r="I52" i="1"/>
  <c r="J52" i="1" s="1"/>
  <c r="AA52" i="1" s="1"/>
  <c r="I53" i="1"/>
  <c r="J53" i="1" s="1"/>
  <c r="AA53" i="1" s="1"/>
  <c r="I54" i="1"/>
  <c r="J54" i="1" s="1"/>
  <c r="AA54" i="1" s="1"/>
  <c r="I55" i="1"/>
  <c r="J55" i="1" s="1"/>
  <c r="AA55" i="1" s="1"/>
  <c r="I56" i="1"/>
  <c r="J56" i="1" s="1"/>
  <c r="AA56" i="1" s="1"/>
  <c r="I57" i="1"/>
  <c r="J57" i="1" s="1"/>
  <c r="AA57" i="1" s="1"/>
  <c r="I58" i="1"/>
  <c r="J58" i="1" s="1"/>
  <c r="AA58" i="1" s="1"/>
  <c r="I59" i="1"/>
  <c r="J59" i="1" s="1"/>
  <c r="AA59" i="1" s="1"/>
  <c r="I60" i="1"/>
  <c r="J60" i="1" s="1"/>
  <c r="AA60" i="1" s="1"/>
  <c r="I61" i="1"/>
  <c r="J61" i="1" s="1"/>
  <c r="AA61" i="1" s="1"/>
  <c r="I62" i="1"/>
  <c r="J62" i="1" s="1"/>
  <c r="AA62" i="1" s="1"/>
  <c r="I63" i="1"/>
  <c r="J63" i="1" s="1"/>
  <c r="AA63" i="1" s="1"/>
  <c r="I64" i="1"/>
  <c r="J64" i="1" s="1"/>
  <c r="AA64" i="1" s="1"/>
  <c r="I65" i="1"/>
  <c r="J65" i="1" s="1"/>
  <c r="AA65" i="1" s="1"/>
  <c r="I66" i="1"/>
  <c r="J66" i="1" s="1"/>
  <c r="AA66" i="1" s="1"/>
  <c r="I67" i="1"/>
  <c r="J67" i="1" s="1"/>
  <c r="AA67" i="1" s="1"/>
  <c r="I68" i="1"/>
  <c r="J68" i="1" s="1"/>
  <c r="AA68" i="1" s="1"/>
  <c r="I69" i="1"/>
  <c r="J69" i="1" s="1"/>
  <c r="AA69" i="1" s="1"/>
  <c r="I70" i="1"/>
  <c r="J70" i="1" s="1"/>
  <c r="AA70" i="1" s="1"/>
  <c r="I71" i="1"/>
  <c r="J71" i="1" s="1"/>
  <c r="AA71" i="1" s="1"/>
  <c r="I72" i="1"/>
  <c r="J72" i="1" s="1"/>
  <c r="AA72" i="1" s="1"/>
  <c r="I82" i="1"/>
  <c r="J82" i="1" s="1"/>
  <c r="I164" i="1"/>
  <c r="J164" i="1" s="1"/>
  <c r="AA164" i="1" s="1"/>
  <c r="I165" i="1"/>
  <c r="J165" i="1" s="1"/>
  <c r="AA165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AA174" i="1" s="1"/>
  <c r="I175" i="1"/>
  <c r="J175" i="1" s="1"/>
  <c r="AA175" i="1" s="1"/>
  <c r="I176" i="1"/>
  <c r="J176" i="1" s="1"/>
  <c r="AA176" i="1" s="1"/>
  <c r="I177" i="1"/>
  <c r="J177" i="1" s="1"/>
  <c r="AA177" i="1" s="1"/>
  <c r="I178" i="1"/>
  <c r="J178" i="1" s="1"/>
  <c r="AA178" i="1" s="1"/>
  <c r="J179" i="1"/>
  <c r="AA179" i="1" s="1"/>
  <c r="I180" i="1"/>
  <c r="J180" i="1" s="1"/>
  <c r="AA180" i="1" s="1"/>
  <c r="I181" i="1"/>
  <c r="J181" i="1" s="1"/>
  <c r="AA181" i="1" s="1"/>
  <c r="I182" i="1"/>
  <c r="J182" i="1" s="1"/>
  <c r="AA182" i="1" s="1"/>
  <c r="I183" i="1"/>
  <c r="J183" i="1" s="1"/>
  <c r="AA183" i="1" s="1"/>
  <c r="I184" i="1"/>
  <c r="J184" i="1" s="1"/>
  <c r="AA184" i="1" s="1"/>
  <c r="I185" i="1"/>
  <c r="J185" i="1" s="1"/>
  <c r="AA185" i="1" s="1"/>
  <c r="I186" i="1"/>
  <c r="J186" i="1" s="1"/>
  <c r="AA186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AA115" i="1" s="1"/>
  <c r="I116" i="1"/>
  <c r="J116" i="1" s="1"/>
  <c r="AA116" i="1" s="1"/>
  <c r="I117" i="1"/>
  <c r="J117" i="1" s="1"/>
  <c r="AA117" i="1" s="1"/>
  <c r="I118" i="1"/>
  <c r="J118" i="1" s="1"/>
  <c r="AA118" i="1" s="1"/>
  <c r="I119" i="1"/>
  <c r="J119" i="1" s="1"/>
  <c r="AA119" i="1" s="1"/>
  <c r="I120" i="1"/>
  <c r="J120" i="1" s="1"/>
  <c r="AA120" i="1" s="1"/>
  <c r="I121" i="1"/>
  <c r="J121" i="1" s="1"/>
  <c r="AA121" i="1" s="1"/>
  <c r="I122" i="1"/>
  <c r="J122" i="1" s="1"/>
  <c r="AA122" i="1" s="1"/>
  <c r="I123" i="1"/>
  <c r="J123" i="1" s="1"/>
  <c r="AA123" i="1" s="1"/>
  <c r="I124" i="1"/>
  <c r="J124" i="1" s="1"/>
  <c r="AA124" i="1" s="1"/>
  <c r="I125" i="1"/>
  <c r="J125" i="1" s="1"/>
  <c r="AA125" i="1" s="1"/>
  <c r="I126" i="1"/>
  <c r="J126" i="1" s="1"/>
  <c r="AA126" i="1" s="1"/>
  <c r="I127" i="1"/>
  <c r="J127" i="1" s="1"/>
  <c r="AA127" i="1" s="1"/>
  <c r="I128" i="1"/>
  <c r="J128" i="1" s="1"/>
  <c r="AA128" i="1" s="1"/>
  <c r="I129" i="1"/>
  <c r="J129" i="1" s="1"/>
  <c r="AA129" i="1" s="1"/>
  <c r="I130" i="1"/>
  <c r="J130" i="1" s="1"/>
  <c r="AA130" i="1" s="1"/>
  <c r="I131" i="1"/>
  <c r="J131" i="1" s="1"/>
  <c r="AA131" i="1" s="1"/>
  <c r="I132" i="1"/>
  <c r="J132" i="1" s="1"/>
  <c r="AA132" i="1" s="1"/>
  <c r="I133" i="1"/>
  <c r="J133" i="1" s="1"/>
  <c r="AA133" i="1" s="1"/>
  <c r="I134" i="1"/>
  <c r="J134" i="1" s="1"/>
  <c r="AA134" i="1" s="1"/>
  <c r="I135" i="1"/>
  <c r="J135" i="1" s="1"/>
  <c r="AA135" i="1" s="1"/>
  <c r="I137" i="1"/>
  <c r="J137" i="1" s="1"/>
  <c r="AA137" i="1" s="1"/>
  <c r="I138" i="1"/>
  <c r="J138" i="1" s="1"/>
  <c r="AA138" i="1" s="1"/>
  <c r="I139" i="1"/>
  <c r="I140" i="1"/>
  <c r="J140" i="1" s="1"/>
  <c r="I142" i="1"/>
  <c r="J142" i="1" s="1"/>
  <c r="AA142" i="1" s="1"/>
  <c r="I143" i="1"/>
  <c r="J143" i="1" s="1"/>
  <c r="AA143" i="1" s="1"/>
  <c r="I144" i="1"/>
  <c r="J144" i="1" s="1"/>
  <c r="AA144" i="1" s="1"/>
  <c r="I145" i="1"/>
  <c r="J145" i="1" s="1"/>
  <c r="AA145" i="1" s="1"/>
  <c r="I146" i="1"/>
  <c r="J146" i="1" s="1"/>
  <c r="AA146" i="1" s="1"/>
  <c r="I147" i="1"/>
  <c r="J147" i="1" s="1"/>
  <c r="AA147" i="1" s="1"/>
  <c r="I148" i="1"/>
  <c r="J148" i="1" s="1"/>
  <c r="AA148" i="1" s="1"/>
  <c r="I149" i="1"/>
  <c r="J149" i="1" s="1"/>
  <c r="AA149" i="1" s="1"/>
  <c r="I150" i="1"/>
  <c r="J150" i="1" s="1"/>
  <c r="AA150" i="1" s="1"/>
  <c r="I151" i="1"/>
  <c r="J151" i="1" s="1"/>
  <c r="AA151" i="1" s="1"/>
  <c r="I152" i="1"/>
  <c r="J152" i="1" s="1"/>
  <c r="AA152" i="1" s="1"/>
  <c r="I153" i="1"/>
  <c r="J153" i="1" s="1"/>
  <c r="AA153" i="1" s="1"/>
  <c r="I154" i="1"/>
  <c r="J154" i="1" s="1"/>
  <c r="AA154" i="1" s="1"/>
  <c r="I155" i="1"/>
  <c r="J155" i="1" s="1"/>
  <c r="AA155" i="1" s="1"/>
  <c r="I156" i="1"/>
  <c r="J156" i="1" s="1"/>
  <c r="AA156" i="1" s="1"/>
  <c r="I158" i="1"/>
  <c r="J158" i="1" s="1"/>
  <c r="AA158" i="1" s="1"/>
  <c r="I159" i="1"/>
  <c r="J159" i="1" s="1"/>
  <c r="AA159" i="1" s="1"/>
  <c r="I160" i="1"/>
  <c r="J160" i="1" s="1"/>
  <c r="AA160" i="1" s="1"/>
  <c r="I161" i="1"/>
  <c r="J161" i="1" s="1"/>
  <c r="AA161" i="1" s="1"/>
  <c r="I162" i="1"/>
  <c r="J162" i="1" s="1"/>
  <c r="AA162" i="1" s="1"/>
  <c r="I163" i="1"/>
  <c r="J163" i="1" s="1"/>
  <c r="AA163" i="1" s="1"/>
  <c r="J39" i="1" l="1"/>
  <c r="AA39" i="1" s="1"/>
  <c r="T39" i="1"/>
  <c r="X22" i="1"/>
  <c r="AF22" i="1" s="1"/>
  <c r="J139" i="1"/>
  <c r="AA139" i="1" s="1"/>
  <c r="T139" i="1"/>
  <c r="AA19" i="1"/>
  <c r="J13" i="1"/>
  <c r="AA13" i="1" s="1"/>
  <c r="Q13" i="1"/>
  <c r="Q37" i="1"/>
  <c r="S37" i="1" s="1"/>
  <c r="J37" i="1"/>
  <c r="AA37" i="1" s="1"/>
  <c r="T42" i="1"/>
  <c r="J42" i="1"/>
  <c r="AA42" i="1" s="1"/>
  <c r="AC22" i="1"/>
  <c r="Q137" i="1"/>
  <c r="Q140" i="1"/>
  <c r="Q138" i="1"/>
  <c r="Q139" i="1"/>
  <c r="L162" i="1"/>
  <c r="P135" i="1"/>
  <c r="N135" i="1"/>
  <c r="N152" i="1"/>
  <c r="L115" i="1"/>
  <c r="AD22" i="1" l="1"/>
  <c r="P103" i="1"/>
  <c r="Q132" i="1" l="1"/>
  <c r="P132" i="1"/>
  <c r="N132" i="1"/>
  <c r="L132" i="1"/>
  <c r="P163" i="1"/>
  <c r="N163" i="1"/>
  <c r="L163" i="1"/>
  <c r="Q163" i="1"/>
  <c r="S163" i="1" s="1"/>
  <c r="P162" i="1"/>
  <c r="N162" i="1"/>
  <c r="Q162" i="1"/>
  <c r="S162" i="1" s="1"/>
  <c r="P161" i="1"/>
  <c r="N161" i="1"/>
  <c r="L161" i="1"/>
  <c r="Q161" i="1"/>
  <c r="S161" i="1" s="1"/>
  <c r="P160" i="1"/>
  <c r="N160" i="1"/>
  <c r="L160" i="1"/>
  <c r="Q160" i="1"/>
  <c r="S160" i="1" s="1"/>
  <c r="P159" i="1"/>
  <c r="N159" i="1"/>
  <c r="L159" i="1"/>
  <c r="P158" i="1"/>
  <c r="N158" i="1"/>
  <c r="L158" i="1"/>
  <c r="Q158" i="1"/>
  <c r="S158" i="1" s="1"/>
  <c r="P156" i="1"/>
  <c r="N156" i="1"/>
  <c r="L156" i="1"/>
  <c r="Q156" i="1"/>
  <c r="S156" i="1" s="1"/>
  <c r="P155" i="1"/>
  <c r="N155" i="1"/>
  <c r="L155" i="1"/>
  <c r="Q155" i="1"/>
  <c r="S155" i="1" s="1"/>
  <c r="P154" i="1"/>
  <c r="N154" i="1"/>
  <c r="L154" i="1"/>
  <c r="Q154" i="1"/>
  <c r="S154" i="1" s="1"/>
  <c r="P153" i="1"/>
  <c r="L153" i="1"/>
  <c r="Q153" i="1"/>
  <c r="S153" i="1" s="1"/>
  <c r="P152" i="1"/>
  <c r="L152" i="1"/>
  <c r="Q152" i="1"/>
  <c r="S152" i="1" s="1"/>
  <c r="P151" i="1"/>
  <c r="N151" i="1"/>
  <c r="L151" i="1"/>
  <c r="Q151" i="1"/>
  <c r="S151" i="1" s="1"/>
  <c r="P150" i="1"/>
  <c r="N150" i="1"/>
  <c r="L150" i="1"/>
  <c r="Q150" i="1"/>
  <c r="S150" i="1" s="1"/>
  <c r="P149" i="1"/>
  <c r="N149" i="1"/>
  <c r="L149" i="1"/>
  <c r="Q149" i="1"/>
  <c r="S149" i="1" s="1"/>
  <c r="P148" i="1"/>
  <c r="N148" i="1"/>
  <c r="L148" i="1"/>
  <c r="P147" i="1"/>
  <c r="N147" i="1"/>
  <c r="L147" i="1"/>
  <c r="P146" i="1"/>
  <c r="N146" i="1"/>
  <c r="L146" i="1"/>
  <c r="P145" i="1"/>
  <c r="N145" i="1"/>
  <c r="L145" i="1"/>
  <c r="P144" i="1"/>
  <c r="N144" i="1"/>
  <c r="L144" i="1"/>
  <c r="P143" i="1"/>
  <c r="N143" i="1"/>
  <c r="L143" i="1"/>
  <c r="P142" i="1"/>
  <c r="N142" i="1"/>
  <c r="L142" i="1"/>
  <c r="P141" i="1"/>
  <c r="N141" i="1"/>
  <c r="L141" i="1"/>
  <c r="P140" i="1"/>
  <c r="N140" i="1"/>
  <c r="L140" i="1"/>
  <c r="P139" i="1"/>
  <c r="N139" i="1"/>
  <c r="L139" i="1"/>
  <c r="P138" i="1"/>
  <c r="N138" i="1"/>
  <c r="L138" i="1"/>
  <c r="P137" i="1"/>
  <c r="N137" i="1"/>
  <c r="L137" i="1"/>
  <c r="AC135" i="1"/>
  <c r="AD135" i="1" s="1"/>
  <c r="L135" i="1"/>
  <c r="X135" i="1" s="1"/>
  <c r="AF135" i="1" s="1"/>
  <c r="Q135" i="1"/>
  <c r="P134" i="1"/>
  <c r="N134" i="1"/>
  <c r="L134" i="1"/>
  <c r="Q134" i="1"/>
  <c r="S134" i="1" s="1"/>
  <c r="P133" i="1"/>
  <c r="N133" i="1"/>
  <c r="L133" i="1"/>
  <c r="Q133" i="1"/>
  <c r="S133" i="1" s="1"/>
  <c r="P131" i="1"/>
  <c r="N131" i="1"/>
  <c r="L131" i="1"/>
  <c r="Q131" i="1"/>
  <c r="S131" i="1" s="1"/>
  <c r="P130" i="1"/>
  <c r="N130" i="1"/>
  <c r="L130" i="1"/>
  <c r="Q130" i="1"/>
  <c r="S130" i="1" s="1"/>
  <c r="P129" i="1"/>
  <c r="N129" i="1"/>
  <c r="L129" i="1"/>
  <c r="Q129" i="1"/>
  <c r="S129" i="1" s="1"/>
  <c r="P128" i="1"/>
  <c r="N128" i="1"/>
  <c r="L128" i="1"/>
  <c r="Q128" i="1"/>
  <c r="S128" i="1" s="1"/>
  <c r="P127" i="1"/>
  <c r="Q127" i="1"/>
  <c r="S127" i="1" s="1"/>
  <c r="P126" i="1"/>
  <c r="N126" i="1"/>
  <c r="L126" i="1"/>
  <c r="P125" i="1"/>
  <c r="N125" i="1"/>
  <c r="L125" i="1"/>
  <c r="Q125" i="1"/>
  <c r="S125" i="1" s="1"/>
  <c r="P124" i="1"/>
  <c r="N124" i="1"/>
  <c r="L124" i="1"/>
  <c r="Q124" i="1"/>
  <c r="S124" i="1" s="1"/>
  <c r="P123" i="1"/>
  <c r="N123" i="1"/>
  <c r="L123" i="1"/>
  <c r="P122" i="1"/>
  <c r="N122" i="1"/>
  <c r="L122" i="1"/>
  <c r="Q122" i="1"/>
  <c r="S122" i="1" s="1"/>
  <c r="P121" i="1"/>
  <c r="N121" i="1"/>
  <c r="L121" i="1"/>
  <c r="Q121" i="1"/>
  <c r="S121" i="1" s="1"/>
  <c r="P120" i="1"/>
  <c r="N120" i="1"/>
  <c r="L120" i="1"/>
  <c r="P119" i="1"/>
  <c r="N119" i="1"/>
  <c r="L119" i="1"/>
  <c r="Q119" i="1"/>
  <c r="S119" i="1" s="1"/>
  <c r="P118" i="1"/>
  <c r="N118" i="1"/>
  <c r="L118" i="1"/>
  <c r="P117" i="1"/>
  <c r="N117" i="1"/>
  <c r="L117" i="1"/>
  <c r="Q117" i="1"/>
  <c r="S117" i="1" s="1"/>
  <c r="P116" i="1"/>
  <c r="N116" i="1"/>
  <c r="L116" i="1"/>
  <c r="Q116" i="1"/>
  <c r="S116" i="1" s="1"/>
  <c r="P115" i="1"/>
  <c r="N115" i="1"/>
  <c r="P114" i="1"/>
  <c r="N114" i="1"/>
  <c r="L114" i="1"/>
  <c r="Q114" i="1"/>
  <c r="S114" i="1" s="1"/>
  <c r="P113" i="1"/>
  <c r="N113" i="1"/>
  <c r="L113" i="1"/>
  <c r="P112" i="1"/>
  <c r="N112" i="1"/>
  <c r="L112" i="1"/>
  <c r="P111" i="1"/>
  <c r="N111" i="1"/>
  <c r="L111" i="1"/>
  <c r="P110" i="1"/>
  <c r="N110" i="1"/>
  <c r="L110" i="1"/>
  <c r="P109" i="1"/>
  <c r="N109" i="1"/>
  <c r="L109" i="1"/>
  <c r="P108" i="1"/>
  <c r="N108" i="1"/>
  <c r="L108" i="1"/>
  <c r="P107" i="1"/>
  <c r="N107" i="1"/>
  <c r="L107" i="1"/>
  <c r="P106" i="1"/>
  <c r="N106" i="1"/>
  <c r="L106" i="1"/>
  <c r="P105" i="1"/>
  <c r="N105" i="1"/>
  <c r="L105" i="1"/>
  <c r="P104" i="1"/>
  <c r="N104" i="1"/>
  <c r="L104" i="1"/>
  <c r="N103" i="1"/>
  <c r="L103" i="1"/>
  <c r="P102" i="1"/>
  <c r="N102" i="1"/>
  <c r="L102" i="1"/>
  <c r="P101" i="1"/>
  <c r="N101" i="1"/>
  <c r="P100" i="1"/>
  <c r="N100" i="1"/>
  <c r="L100" i="1"/>
  <c r="Q100" i="1"/>
  <c r="S100" i="1" s="1"/>
  <c r="P99" i="1"/>
  <c r="N99" i="1"/>
  <c r="L99" i="1"/>
  <c r="P98" i="1"/>
  <c r="N98" i="1"/>
  <c r="L98" i="1"/>
  <c r="Q98" i="1"/>
  <c r="S98" i="1" s="1"/>
  <c r="P97" i="1"/>
  <c r="N97" i="1"/>
  <c r="L97" i="1"/>
  <c r="P96" i="1"/>
  <c r="N96" i="1"/>
  <c r="L96" i="1"/>
  <c r="Q96" i="1"/>
  <c r="S96" i="1" s="1"/>
  <c r="P95" i="1"/>
  <c r="N95" i="1"/>
  <c r="L95" i="1"/>
  <c r="Q95" i="1"/>
  <c r="S95" i="1" s="1"/>
  <c r="P94" i="1"/>
  <c r="N94" i="1"/>
  <c r="L94" i="1"/>
  <c r="Q94" i="1"/>
  <c r="S94" i="1" s="1"/>
  <c r="N93" i="1"/>
  <c r="L93" i="1"/>
  <c r="Q93" i="1"/>
  <c r="S93" i="1" s="1"/>
  <c r="P92" i="1"/>
  <c r="N92" i="1"/>
  <c r="L92" i="1"/>
  <c r="P91" i="1"/>
  <c r="N91" i="1"/>
  <c r="L91" i="1"/>
  <c r="Q91" i="1"/>
  <c r="S91" i="1" s="1"/>
  <c r="P90" i="1"/>
  <c r="N90" i="1"/>
  <c r="L90" i="1"/>
  <c r="P89" i="1"/>
  <c r="N89" i="1"/>
  <c r="L89" i="1"/>
  <c r="Q89" i="1"/>
  <c r="S89" i="1" s="1"/>
  <c r="P88" i="1"/>
  <c r="N88" i="1"/>
  <c r="L88" i="1"/>
  <c r="Q88" i="1"/>
  <c r="S88" i="1" s="1"/>
  <c r="P87" i="1"/>
  <c r="N87" i="1"/>
  <c r="L87" i="1"/>
  <c r="Q87" i="1"/>
  <c r="S87" i="1" s="1"/>
  <c r="Q86" i="1"/>
  <c r="S86" i="1" s="1"/>
  <c r="P85" i="1"/>
  <c r="N85" i="1"/>
  <c r="L85" i="1"/>
  <c r="Q85" i="1"/>
  <c r="S85" i="1" s="1"/>
  <c r="P84" i="1"/>
  <c r="N84" i="1"/>
  <c r="L84" i="1"/>
  <c r="P83" i="1"/>
  <c r="N83" i="1"/>
  <c r="L83" i="1"/>
  <c r="Q83" i="1"/>
  <c r="S83" i="1" s="1"/>
  <c r="P81" i="1"/>
  <c r="L81" i="1"/>
  <c r="Q81" i="1"/>
  <c r="S81" i="1" s="1"/>
  <c r="P80" i="1"/>
  <c r="N80" i="1"/>
  <c r="L80" i="1"/>
  <c r="P79" i="1"/>
  <c r="N79" i="1"/>
  <c r="L79" i="1"/>
  <c r="Q79" i="1"/>
  <c r="S79" i="1" s="1"/>
  <c r="P78" i="1"/>
  <c r="N78" i="1"/>
  <c r="L78" i="1"/>
  <c r="Q78" i="1"/>
  <c r="S78" i="1" s="1"/>
  <c r="P77" i="1"/>
  <c r="N77" i="1"/>
  <c r="L77" i="1"/>
  <c r="Q77" i="1"/>
  <c r="S77" i="1" s="1"/>
  <c r="P76" i="1"/>
  <c r="N76" i="1"/>
  <c r="L76" i="1"/>
  <c r="P75" i="1"/>
  <c r="N75" i="1"/>
  <c r="L75" i="1"/>
  <c r="Q75" i="1"/>
  <c r="S75" i="1" s="1"/>
  <c r="P74" i="1"/>
  <c r="N74" i="1"/>
  <c r="L74" i="1"/>
  <c r="Q74" i="1"/>
  <c r="S74" i="1" s="1"/>
  <c r="P186" i="1"/>
  <c r="N186" i="1"/>
  <c r="L186" i="1"/>
  <c r="Q186" i="1"/>
  <c r="S186" i="1" s="1"/>
  <c r="P185" i="1"/>
  <c r="N185" i="1"/>
  <c r="L185" i="1"/>
  <c r="Q185" i="1"/>
  <c r="S185" i="1" s="1"/>
  <c r="P184" i="1"/>
  <c r="N184" i="1"/>
  <c r="L184" i="1"/>
  <c r="Q184" i="1"/>
  <c r="S184" i="1" s="1"/>
  <c r="P183" i="1"/>
  <c r="N183" i="1"/>
  <c r="L183" i="1"/>
  <c r="P182" i="1"/>
  <c r="N182" i="1"/>
  <c r="L182" i="1"/>
  <c r="Q182" i="1"/>
  <c r="S182" i="1" s="1"/>
  <c r="P181" i="1"/>
  <c r="N181" i="1"/>
  <c r="L181" i="1"/>
  <c r="Q181" i="1"/>
  <c r="S181" i="1" s="1"/>
  <c r="P180" i="1"/>
  <c r="N180" i="1"/>
  <c r="L180" i="1"/>
  <c r="Q180" i="1"/>
  <c r="S180" i="1" s="1"/>
  <c r="P179" i="1"/>
  <c r="N179" i="1"/>
  <c r="L179" i="1"/>
  <c r="Q179" i="1"/>
  <c r="S179" i="1" s="1"/>
  <c r="P178" i="1"/>
  <c r="N178" i="1"/>
  <c r="L178" i="1"/>
  <c r="P177" i="1"/>
  <c r="N177" i="1"/>
  <c r="L177" i="1"/>
  <c r="P176" i="1"/>
  <c r="N176" i="1"/>
  <c r="L176" i="1"/>
  <c r="P175" i="1"/>
  <c r="N175" i="1"/>
  <c r="L175" i="1"/>
  <c r="Q175" i="1"/>
  <c r="S175" i="1" s="1"/>
  <c r="P174" i="1"/>
  <c r="N174" i="1"/>
  <c r="L174" i="1"/>
  <c r="Q174" i="1"/>
  <c r="S174" i="1" s="1"/>
  <c r="P173" i="1"/>
  <c r="N173" i="1"/>
  <c r="L173" i="1"/>
  <c r="Q173" i="1"/>
  <c r="S173" i="1" s="1"/>
  <c r="P172" i="1"/>
  <c r="N172" i="1"/>
  <c r="L172" i="1"/>
  <c r="P171" i="1"/>
  <c r="N171" i="1"/>
  <c r="L171" i="1"/>
  <c r="Q171" i="1"/>
  <c r="S171" i="1" s="1"/>
  <c r="P170" i="1"/>
  <c r="N170" i="1"/>
  <c r="L170" i="1"/>
  <c r="P169" i="1"/>
  <c r="N169" i="1"/>
  <c r="L169" i="1"/>
  <c r="Q169" i="1"/>
  <c r="S169" i="1" s="1"/>
  <c r="P168" i="1"/>
  <c r="N168" i="1"/>
  <c r="L168" i="1"/>
  <c r="Q168" i="1"/>
  <c r="S168" i="1" s="1"/>
  <c r="P167" i="1"/>
  <c r="N167" i="1"/>
  <c r="L167" i="1"/>
  <c r="Q167" i="1"/>
  <c r="S167" i="1" s="1"/>
  <c r="P165" i="1"/>
  <c r="N165" i="1"/>
  <c r="L165" i="1"/>
  <c r="Q165" i="1"/>
  <c r="S165" i="1" s="1"/>
  <c r="P164" i="1"/>
  <c r="L164" i="1"/>
  <c r="Q164" i="1"/>
  <c r="S164" i="1" s="1"/>
  <c r="P82" i="1"/>
  <c r="N82" i="1"/>
  <c r="L82" i="1"/>
  <c r="Q82" i="1"/>
  <c r="S82" i="1" s="1"/>
  <c r="P72" i="1"/>
  <c r="N72" i="1"/>
  <c r="L72" i="1"/>
  <c r="Q72" i="1"/>
  <c r="S72" i="1" s="1"/>
  <c r="P71" i="1"/>
  <c r="N71" i="1"/>
  <c r="L71" i="1"/>
  <c r="P70" i="1"/>
  <c r="N70" i="1"/>
  <c r="L70" i="1"/>
  <c r="T70" i="1"/>
  <c r="P69" i="1"/>
  <c r="N69" i="1"/>
  <c r="L69" i="1"/>
  <c r="P68" i="1"/>
  <c r="N68" i="1"/>
  <c r="L68" i="1"/>
  <c r="P67" i="1"/>
  <c r="N67" i="1"/>
  <c r="L67" i="1"/>
  <c r="Q67" i="1"/>
  <c r="S67" i="1" s="1"/>
  <c r="P66" i="1"/>
  <c r="N66" i="1"/>
  <c r="L66" i="1"/>
  <c r="Q66" i="1"/>
  <c r="S66" i="1" s="1"/>
  <c r="P65" i="1"/>
  <c r="N65" i="1"/>
  <c r="L65" i="1"/>
  <c r="Q65" i="1"/>
  <c r="S65" i="1" s="1"/>
  <c r="P64" i="1"/>
  <c r="N64" i="1"/>
  <c r="L64" i="1"/>
  <c r="Q64" i="1"/>
  <c r="S64" i="1" s="1"/>
  <c r="P63" i="1"/>
  <c r="N63" i="1"/>
  <c r="L63" i="1"/>
  <c r="T63" i="1"/>
  <c r="P62" i="1"/>
  <c r="N62" i="1"/>
  <c r="L62" i="1"/>
  <c r="P61" i="1"/>
  <c r="N61" i="1"/>
  <c r="L61" i="1"/>
  <c r="P60" i="1"/>
  <c r="N60" i="1"/>
  <c r="L60" i="1"/>
  <c r="Q60" i="1"/>
  <c r="S60" i="1" s="1"/>
  <c r="P59" i="1"/>
  <c r="N59" i="1"/>
  <c r="L59" i="1"/>
  <c r="T59" i="1"/>
  <c r="P58" i="1"/>
  <c r="N58" i="1"/>
  <c r="L58" i="1"/>
  <c r="Q58" i="1"/>
  <c r="S58" i="1" s="1"/>
  <c r="P57" i="1"/>
  <c r="L57" i="1"/>
  <c r="Q57" i="1"/>
  <c r="S57" i="1" s="1"/>
  <c r="P56" i="1"/>
  <c r="N56" i="1"/>
  <c r="L56" i="1"/>
  <c r="Q56" i="1"/>
  <c r="S56" i="1" s="1"/>
  <c r="P55" i="1"/>
  <c r="L55" i="1"/>
  <c r="T55" i="1"/>
  <c r="P54" i="1"/>
  <c r="N54" i="1"/>
  <c r="L54" i="1"/>
  <c r="T54" i="1"/>
  <c r="P53" i="1"/>
  <c r="N53" i="1"/>
  <c r="L53" i="1"/>
  <c r="P52" i="1"/>
  <c r="N52" i="1"/>
  <c r="L52" i="1"/>
  <c r="P51" i="1"/>
  <c r="N51" i="1"/>
  <c r="L51" i="1"/>
  <c r="Q51" i="1"/>
  <c r="S51" i="1" s="1"/>
  <c r="P50" i="1"/>
  <c r="N50" i="1"/>
  <c r="P49" i="1"/>
  <c r="N49" i="1"/>
  <c r="Q49" i="1"/>
  <c r="S49" i="1" s="1"/>
  <c r="P48" i="1"/>
  <c r="N48" i="1"/>
  <c r="L48" i="1"/>
  <c r="Q48" i="1"/>
  <c r="S48" i="1" s="1"/>
  <c r="P47" i="1"/>
  <c r="N47" i="1"/>
  <c r="L47" i="1"/>
  <c r="Q47" i="1"/>
  <c r="S47" i="1" s="1"/>
  <c r="P46" i="1"/>
  <c r="N46" i="1"/>
  <c r="L46" i="1"/>
  <c r="T46" i="1"/>
  <c r="P45" i="1"/>
  <c r="N45" i="1"/>
  <c r="L45" i="1"/>
  <c r="Q45" i="1"/>
  <c r="S45" i="1" s="1"/>
  <c r="P43" i="1"/>
  <c r="L43" i="1"/>
  <c r="P42" i="1"/>
  <c r="N42" i="1"/>
  <c r="L42" i="1"/>
  <c r="P41" i="1"/>
  <c r="N41" i="1"/>
  <c r="L41" i="1"/>
  <c r="T41" i="1"/>
  <c r="P40" i="1"/>
  <c r="N40" i="1"/>
  <c r="L40" i="1"/>
  <c r="T40" i="1"/>
  <c r="P39" i="1"/>
  <c r="N39" i="1"/>
  <c r="L39" i="1"/>
  <c r="Q39" i="1"/>
  <c r="S39" i="1" s="1"/>
  <c r="P38" i="1"/>
  <c r="N38" i="1"/>
  <c r="L38" i="1"/>
  <c r="P37" i="1"/>
  <c r="N37" i="1"/>
  <c r="L37" i="1"/>
  <c r="P35" i="1"/>
  <c r="L35" i="1"/>
  <c r="Q35" i="1"/>
  <c r="S35" i="1" s="1"/>
  <c r="P34" i="1"/>
  <c r="N34" i="1"/>
  <c r="L34" i="1"/>
  <c r="T34" i="1"/>
  <c r="P33" i="1"/>
  <c r="N33" i="1"/>
  <c r="L33" i="1"/>
  <c r="Q33" i="1"/>
  <c r="S33" i="1" s="1"/>
  <c r="L32" i="1"/>
  <c r="P31" i="1"/>
  <c r="N31" i="1"/>
  <c r="L31" i="1"/>
  <c r="T31" i="1"/>
  <c r="P30" i="1"/>
  <c r="N30" i="1"/>
  <c r="L30" i="1"/>
  <c r="T30" i="1"/>
  <c r="P29" i="1"/>
  <c r="N29" i="1"/>
  <c r="L29" i="1"/>
  <c r="Q29" i="1"/>
  <c r="S29" i="1" s="1"/>
  <c r="P28" i="1"/>
  <c r="N28" i="1"/>
  <c r="L28" i="1"/>
  <c r="P27" i="1"/>
  <c r="N27" i="1"/>
  <c r="L27" i="1"/>
  <c r="T27" i="1"/>
  <c r="P26" i="1"/>
  <c r="N26" i="1"/>
  <c r="L26" i="1"/>
  <c r="T26" i="1"/>
  <c r="P25" i="1"/>
  <c r="N25" i="1"/>
  <c r="L25" i="1"/>
  <c r="Q25" i="1"/>
  <c r="S25" i="1" s="1"/>
  <c r="P24" i="1"/>
  <c r="N24" i="1"/>
  <c r="L24" i="1"/>
  <c r="Q24" i="1"/>
  <c r="S24" i="1" s="1"/>
  <c r="P23" i="1"/>
  <c r="N23" i="1"/>
  <c r="L23" i="1"/>
  <c r="Q23" i="1"/>
  <c r="S23" i="1" s="1"/>
  <c r="P21" i="1"/>
  <c r="N21" i="1"/>
  <c r="L21" i="1"/>
  <c r="Q21" i="1"/>
  <c r="S21" i="1" s="1"/>
  <c r="P20" i="1"/>
  <c r="N20" i="1"/>
  <c r="L20" i="1"/>
  <c r="Q20" i="1"/>
  <c r="S20" i="1" s="1"/>
  <c r="P19" i="1"/>
  <c r="N19" i="1"/>
  <c r="L19" i="1"/>
  <c r="Q19" i="1"/>
  <c r="P18" i="1"/>
  <c r="L18" i="1"/>
  <c r="Q18" i="1"/>
  <c r="S18" i="1" s="1"/>
  <c r="P17" i="1"/>
  <c r="N17" i="1"/>
  <c r="L17" i="1"/>
  <c r="Q17" i="1"/>
  <c r="S17" i="1" s="1"/>
  <c r="P16" i="1"/>
  <c r="N16" i="1"/>
  <c r="L16" i="1"/>
  <c r="Q16" i="1"/>
  <c r="S16" i="1" s="1"/>
  <c r="P15" i="1"/>
  <c r="N15" i="1"/>
  <c r="L15" i="1"/>
  <c r="Q15" i="1"/>
  <c r="S15" i="1" s="1"/>
  <c r="P14" i="1"/>
  <c r="N14" i="1"/>
  <c r="L14" i="1"/>
  <c r="Q14" i="1"/>
  <c r="S14" i="1" s="1"/>
  <c r="P13" i="1"/>
  <c r="N13" i="1"/>
  <c r="L13" i="1"/>
  <c r="T13" i="1"/>
  <c r="P12" i="1"/>
  <c r="N12" i="1"/>
  <c r="L12" i="1"/>
  <c r="Q12" i="1"/>
  <c r="S12" i="1" s="1"/>
  <c r="P11" i="1"/>
  <c r="N11" i="1"/>
  <c r="L11" i="1"/>
  <c r="T11" i="1"/>
  <c r="L10" i="1"/>
  <c r="Q10" i="1"/>
  <c r="S10" i="1" s="1"/>
  <c r="P9" i="1"/>
  <c r="N9" i="1"/>
  <c r="L9" i="1"/>
  <c r="T9" i="1"/>
  <c r="P8" i="1"/>
  <c r="N8" i="1"/>
  <c r="L8" i="1"/>
  <c r="Q8" i="1"/>
  <c r="S8" i="1" s="1"/>
  <c r="P7" i="1"/>
  <c r="N7" i="1"/>
  <c r="L7" i="1"/>
  <c r="T7" i="1"/>
  <c r="P6" i="1"/>
  <c r="N6" i="1"/>
  <c r="L6" i="1"/>
  <c r="Q6" i="1"/>
  <c r="S6" i="1" s="1"/>
  <c r="P5" i="1"/>
  <c r="N5" i="1"/>
  <c r="L5" i="1"/>
  <c r="T5" i="1"/>
  <c r="P4" i="1"/>
  <c r="N4" i="1"/>
  <c r="L4" i="1"/>
  <c r="Q4" i="1"/>
  <c r="S4" i="1" s="1"/>
  <c r="P3" i="1"/>
  <c r="N3" i="1"/>
  <c r="L3" i="1"/>
  <c r="Q3" i="1"/>
  <c r="S3" i="1" s="1"/>
  <c r="P2" i="1"/>
  <c r="N2" i="1"/>
  <c r="I2" i="1"/>
  <c r="Q2" i="1" s="1"/>
  <c r="S2" i="1" s="1"/>
  <c r="X19" i="1" l="1"/>
  <c r="X127" i="1"/>
  <c r="AF127" i="1" s="1"/>
  <c r="X159" i="1"/>
  <c r="AF159" i="1" s="1"/>
  <c r="X65" i="1"/>
  <c r="AF65" i="1" s="1"/>
  <c r="X66" i="1"/>
  <c r="AF66" i="1" s="1"/>
  <c r="X171" i="1"/>
  <c r="AF171" i="1" s="1"/>
  <c r="X163" i="1"/>
  <c r="AF163" i="1" s="1"/>
  <c r="X132" i="1"/>
  <c r="X177" i="1"/>
  <c r="AF177" i="1" s="1"/>
  <c r="X178" i="1"/>
  <c r="AF178" i="1" s="1"/>
  <c r="X85" i="1"/>
  <c r="AF85" i="1" s="1"/>
  <c r="X86" i="1"/>
  <c r="AF86" i="1" s="1"/>
  <c r="X87" i="1"/>
  <c r="AF87" i="1" s="1"/>
  <c r="X88" i="1"/>
  <c r="AF88" i="1" s="1"/>
  <c r="X89" i="1"/>
  <c r="AF89" i="1" s="1"/>
  <c r="X116" i="1"/>
  <c r="AF116" i="1" s="1"/>
  <c r="X117" i="1"/>
  <c r="AF117" i="1" s="1"/>
  <c r="X128" i="1"/>
  <c r="AF128" i="1" s="1"/>
  <c r="X129" i="1"/>
  <c r="AF129" i="1" s="1"/>
  <c r="X130" i="1"/>
  <c r="AF130" i="1" s="1"/>
  <c r="X131" i="1"/>
  <c r="AF131" i="1" s="1"/>
  <c r="X133" i="1"/>
  <c r="AF133" i="1" s="1"/>
  <c r="X134" i="1"/>
  <c r="AF134" i="1" s="1"/>
  <c r="X153" i="1"/>
  <c r="AF153" i="1" s="1"/>
  <c r="X154" i="1"/>
  <c r="AF154" i="1" s="1"/>
  <c r="X184" i="1"/>
  <c r="AF184" i="1" s="1"/>
  <c r="X185" i="1"/>
  <c r="AF185" i="1" s="1"/>
  <c r="X186" i="1"/>
  <c r="AF186" i="1" s="1"/>
  <c r="X74" i="1"/>
  <c r="AF74" i="1" s="1"/>
  <c r="X75" i="1"/>
  <c r="AF75" i="1" s="1"/>
  <c r="X91" i="1"/>
  <c r="AF91" i="1" s="1"/>
  <c r="X98" i="1"/>
  <c r="AF98" i="1" s="1"/>
  <c r="X119" i="1"/>
  <c r="AF119" i="1" s="1"/>
  <c r="X82" i="1"/>
  <c r="AF82" i="1" s="1"/>
  <c r="X169" i="1"/>
  <c r="AF169" i="1" s="1"/>
  <c r="X180" i="1"/>
  <c r="AF180" i="1" s="1"/>
  <c r="X155" i="1"/>
  <c r="AF155" i="1" s="1"/>
  <c r="X156" i="1"/>
  <c r="AF156" i="1" s="1"/>
  <c r="X158" i="1"/>
  <c r="AF158" i="1" s="1"/>
  <c r="X160" i="1"/>
  <c r="AF160" i="1" s="1"/>
  <c r="X161" i="1"/>
  <c r="AF161" i="1" s="1"/>
  <c r="X162" i="1"/>
  <c r="AF162" i="1" s="1"/>
  <c r="X164" i="1"/>
  <c r="AF164" i="1" s="1"/>
  <c r="X167" i="1"/>
  <c r="AF167" i="1" s="1"/>
  <c r="X179" i="1"/>
  <c r="AF179" i="1" s="1"/>
  <c r="X182" i="1"/>
  <c r="AF182" i="1" s="1"/>
  <c r="X51" i="1"/>
  <c r="AF51" i="1" s="1"/>
  <c r="X176" i="1"/>
  <c r="AF176" i="1" s="1"/>
  <c r="X81" i="1"/>
  <c r="AF81" i="1" s="1"/>
  <c r="X83" i="1"/>
  <c r="AF83" i="1" s="1"/>
  <c r="X94" i="1"/>
  <c r="AF94" i="1" s="1"/>
  <c r="X95" i="1"/>
  <c r="AF95" i="1" s="1"/>
  <c r="X96" i="1"/>
  <c r="AF96" i="1" s="1"/>
  <c r="X100" i="1"/>
  <c r="AF100" i="1" s="1"/>
  <c r="X124" i="1"/>
  <c r="X125" i="1"/>
  <c r="AF125" i="1" s="1"/>
  <c r="X149" i="1"/>
  <c r="AF149" i="1" s="1"/>
  <c r="X150" i="1"/>
  <c r="AF150" i="1" s="1"/>
  <c r="X151" i="1"/>
  <c r="AF151" i="1" s="1"/>
  <c r="X152" i="1"/>
  <c r="AF152" i="1" s="1"/>
  <c r="X39" i="1"/>
  <c r="AF39" i="1" s="1"/>
  <c r="X72" i="1"/>
  <c r="AF72" i="1" s="1"/>
  <c r="X165" i="1"/>
  <c r="AF165" i="1" s="1"/>
  <c r="X168" i="1"/>
  <c r="AF168" i="1" s="1"/>
  <c r="X181" i="1"/>
  <c r="AF181" i="1" s="1"/>
  <c r="X33" i="1"/>
  <c r="AF33" i="1" s="1"/>
  <c r="X35" i="1"/>
  <c r="AF35" i="1" s="1"/>
  <c r="X45" i="1"/>
  <c r="AF45" i="1" s="1"/>
  <c r="X49" i="1"/>
  <c r="AF49" i="1" s="1"/>
  <c r="X173" i="1"/>
  <c r="X174" i="1"/>
  <c r="AF174" i="1" s="1"/>
  <c r="X175" i="1"/>
  <c r="AF175" i="1" s="1"/>
  <c r="X77" i="1"/>
  <c r="AF77" i="1" s="1"/>
  <c r="X78" i="1"/>
  <c r="AF78" i="1" s="1"/>
  <c r="X79" i="1"/>
  <c r="AF79" i="1" s="1"/>
  <c r="X93" i="1"/>
  <c r="AF93" i="1" s="1"/>
  <c r="X114" i="1"/>
  <c r="AF114" i="1" s="1"/>
  <c r="X121" i="1"/>
  <c r="AF121" i="1" s="1"/>
  <c r="X122" i="1"/>
  <c r="AF122" i="1" s="1"/>
  <c r="Q38" i="1"/>
  <c r="S38" i="1" s="1"/>
  <c r="Q54" i="1"/>
  <c r="S54" i="1" s="1"/>
  <c r="X54" i="1" s="1"/>
  <c r="AF54" i="1" s="1"/>
  <c r="S13" i="1"/>
  <c r="Q26" i="1"/>
  <c r="S26" i="1" s="1"/>
  <c r="X26" i="1" s="1"/>
  <c r="AF26" i="1" s="1"/>
  <c r="Q55" i="1"/>
  <c r="S55" i="1" s="1"/>
  <c r="X55" i="1" s="1"/>
  <c r="AF55" i="1" s="1"/>
  <c r="T58" i="1"/>
  <c r="X58" i="1" s="1"/>
  <c r="AF58" i="1" s="1"/>
  <c r="Q63" i="1"/>
  <c r="S63" i="1" s="1"/>
  <c r="X63" i="1" s="1"/>
  <c r="AF63" i="1" s="1"/>
  <c r="Q70" i="1"/>
  <c r="S70" i="1" s="1"/>
  <c r="X70" i="1" s="1"/>
  <c r="AF70" i="1" s="1"/>
  <c r="Q9" i="1"/>
  <c r="S9" i="1" s="1"/>
  <c r="Q31" i="1"/>
  <c r="S31" i="1" s="1"/>
  <c r="X31" i="1" s="1"/>
  <c r="AF31" i="1" s="1"/>
  <c r="Q59" i="1"/>
  <c r="S59" i="1" s="1"/>
  <c r="X59" i="1" s="1"/>
  <c r="AF59" i="1" s="1"/>
  <c r="T8" i="1"/>
  <c r="T12" i="1"/>
  <c r="T25" i="1"/>
  <c r="Q68" i="1"/>
  <c r="S68" i="1" s="1"/>
  <c r="T68" i="1"/>
  <c r="Q172" i="1"/>
  <c r="S172" i="1" s="1"/>
  <c r="X172" i="1" s="1"/>
  <c r="Q97" i="1"/>
  <c r="S97" i="1" s="1"/>
  <c r="X97" i="1" s="1"/>
  <c r="AF97" i="1" s="1"/>
  <c r="Q115" i="1"/>
  <c r="S115" i="1" s="1"/>
  <c r="X115" i="1" s="1"/>
  <c r="AF115" i="1" s="1"/>
  <c r="T2" i="1"/>
  <c r="Q27" i="1"/>
  <c r="S27" i="1" s="1"/>
  <c r="X27" i="1" s="1"/>
  <c r="AF27" i="1" s="1"/>
  <c r="T29" i="1"/>
  <c r="X29" i="1" s="1"/>
  <c r="AF29" i="1" s="1"/>
  <c r="T48" i="1"/>
  <c r="X48" i="1" s="1"/>
  <c r="T57" i="1"/>
  <c r="X57" i="1" s="1"/>
  <c r="AF57" i="1" s="1"/>
  <c r="Q61" i="1"/>
  <c r="S61" i="1" s="1"/>
  <c r="T61" i="1"/>
  <c r="Q69" i="1"/>
  <c r="S69" i="1" s="1"/>
  <c r="X69" i="1" s="1"/>
  <c r="AF69" i="1" s="1"/>
  <c r="Q84" i="1"/>
  <c r="S84" i="1" s="1"/>
  <c r="X84" i="1" s="1"/>
  <c r="AF84" i="1" s="1"/>
  <c r="Q92" i="1"/>
  <c r="S92" i="1" s="1"/>
  <c r="X92" i="1" s="1"/>
  <c r="AF92" i="1" s="1"/>
  <c r="Q118" i="1"/>
  <c r="S118" i="1" s="1"/>
  <c r="X118" i="1" s="1"/>
  <c r="AF118" i="1" s="1"/>
  <c r="T3" i="1"/>
  <c r="Q99" i="1"/>
  <c r="S99" i="1" s="1"/>
  <c r="X99" i="1" s="1"/>
  <c r="AF99" i="1" s="1"/>
  <c r="S139" i="1"/>
  <c r="X139" i="1" s="1"/>
  <c r="AF139" i="1" s="1"/>
  <c r="Q50" i="1"/>
  <c r="S50" i="1" s="1"/>
  <c r="X50" i="1" s="1"/>
  <c r="AF50" i="1" s="1"/>
  <c r="Q53" i="1"/>
  <c r="S53" i="1" s="1"/>
  <c r="X53" i="1" s="1"/>
  <c r="AF53" i="1" s="1"/>
  <c r="Q62" i="1"/>
  <c r="S62" i="1" s="1"/>
  <c r="X62" i="1" s="1"/>
  <c r="AF62" i="1" s="1"/>
  <c r="Q90" i="1"/>
  <c r="S90" i="1" s="1"/>
  <c r="X90" i="1" s="1"/>
  <c r="AF90" i="1" s="1"/>
  <c r="Q5" i="1"/>
  <c r="S5" i="1" s="1"/>
  <c r="T16" i="1"/>
  <c r="Q30" i="1"/>
  <c r="S30" i="1" s="1"/>
  <c r="X30" i="1" s="1"/>
  <c r="AF30" i="1" s="1"/>
  <c r="Q34" i="1"/>
  <c r="S34" i="1" s="1"/>
  <c r="X34" i="1" s="1"/>
  <c r="AF34" i="1" s="1"/>
  <c r="Q40" i="1"/>
  <c r="S40" i="1" s="1"/>
  <c r="X40" i="1" s="1"/>
  <c r="AF40" i="1" s="1"/>
  <c r="Q46" i="1"/>
  <c r="S46" i="1" s="1"/>
  <c r="X46" i="1" s="1"/>
  <c r="Q52" i="1"/>
  <c r="S52" i="1" s="1"/>
  <c r="X52" i="1" s="1"/>
  <c r="AF52" i="1" s="1"/>
  <c r="T67" i="1"/>
  <c r="X67" i="1" s="1"/>
  <c r="AF67" i="1" s="1"/>
  <c r="Q170" i="1"/>
  <c r="S170" i="1" s="1"/>
  <c r="X170" i="1" s="1"/>
  <c r="AF170" i="1" s="1"/>
  <c r="Q183" i="1"/>
  <c r="S183" i="1" s="1"/>
  <c r="X183" i="1" s="1"/>
  <c r="AF183" i="1" s="1"/>
  <c r="Q76" i="1"/>
  <c r="S76" i="1" s="1"/>
  <c r="X76" i="1" s="1"/>
  <c r="AF76" i="1" s="1"/>
  <c r="Q80" i="1"/>
  <c r="S80" i="1" s="1"/>
  <c r="X80" i="1" s="1"/>
  <c r="AF80" i="1" s="1"/>
  <c r="Q120" i="1"/>
  <c r="S120" i="1" s="1"/>
  <c r="X120" i="1" s="1"/>
  <c r="AF120" i="1" s="1"/>
  <c r="Q123" i="1"/>
  <c r="S123" i="1" s="1"/>
  <c r="X123" i="1" s="1"/>
  <c r="AF123" i="1" s="1"/>
  <c r="Q126" i="1"/>
  <c r="S126" i="1" s="1"/>
  <c r="X126" i="1" s="1"/>
  <c r="AF126" i="1" s="1"/>
  <c r="J2" i="1"/>
  <c r="Q7" i="1"/>
  <c r="S7" i="1" s="1"/>
  <c r="Q11" i="1"/>
  <c r="S11" i="1" s="1"/>
  <c r="T37" i="1"/>
  <c r="Q41" i="1"/>
  <c r="S41" i="1" s="1"/>
  <c r="X41" i="1" s="1"/>
  <c r="AF41" i="1" s="1"/>
  <c r="Q42" i="1"/>
  <c r="S42" i="1" s="1"/>
  <c r="X42" i="1" s="1"/>
  <c r="AF42" i="1" s="1"/>
  <c r="T6" i="1"/>
  <c r="T10" i="1"/>
  <c r="T15" i="1"/>
  <c r="Q28" i="1"/>
  <c r="S28" i="1" s="1"/>
  <c r="T28" i="1"/>
  <c r="Q32" i="1"/>
  <c r="S32" i="1" s="1"/>
  <c r="T32" i="1"/>
  <c r="Q43" i="1"/>
  <c r="S43" i="1" s="1"/>
  <c r="T43" i="1"/>
  <c r="T47" i="1"/>
  <c r="X47" i="1" s="1"/>
  <c r="AF47" i="1" s="1"/>
  <c r="T56" i="1"/>
  <c r="X56" i="1" s="1"/>
  <c r="AF56" i="1" s="1"/>
  <c r="T60" i="1"/>
  <c r="X60" i="1" s="1"/>
  <c r="AF60" i="1" s="1"/>
  <c r="T64" i="1"/>
  <c r="X64" i="1" s="1"/>
  <c r="AF64" i="1" s="1"/>
  <c r="Q71" i="1"/>
  <c r="S71" i="1" s="1"/>
  <c r="T71" i="1"/>
  <c r="Q105" i="1"/>
  <c r="S105" i="1" s="1"/>
  <c r="X105" i="1" s="1"/>
  <c r="AF105" i="1" s="1"/>
  <c r="Q109" i="1"/>
  <c r="S109" i="1" s="1"/>
  <c r="X109" i="1" s="1"/>
  <c r="AF109" i="1" s="1"/>
  <c r="S113" i="1"/>
  <c r="X113" i="1" s="1"/>
  <c r="AF113" i="1" s="1"/>
  <c r="Q101" i="1"/>
  <c r="S101" i="1" s="1"/>
  <c r="X101" i="1" s="1"/>
  <c r="AF101" i="1" s="1"/>
  <c r="Q104" i="1"/>
  <c r="S104" i="1" s="1"/>
  <c r="Q108" i="1"/>
  <c r="S108" i="1" s="1"/>
  <c r="X108" i="1" s="1"/>
  <c r="AF108" i="1" s="1"/>
  <c r="Q112" i="1"/>
  <c r="S112" i="1" s="1"/>
  <c r="X112" i="1" s="1"/>
  <c r="AF112" i="1" s="1"/>
  <c r="Q103" i="1"/>
  <c r="S103" i="1" s="1"/>
  <c r="X103" i="1" s="1"/>
  <c r="AF103" i="1" s="1"/>
  <c r="Q107" i="1"/>
  <c r="S107" i="1" s="1"/>
  <c r="X107" i="1" s="1"/>
  <c r="AF107" i="1" s="1"/>
  <c r="Q111" i="1"/>
  <c r="S111" i="1" s="1"/>
  <c r="X111" i="1" s="1"/>
  <c r="AF111" i="1" s="1"/>
  <c r="Q102" i="1"/>
  <c r="S102" i="1" s="1"/>
  <c r="X102" i="1" s="1"/>
  <c r="AF102" i="1" s="1"/>
  <c r="Q106" i="1"/>
  <c r="S106" i="1" s="1"/>
  <c r="X106" i="1" s="1"/>
  <c r="AF106" i="1" s="1"/>
  <c r="Q110" i="1"/>
  <c r="S110" i="1" s="1"/>
  <c r="X110" i="1" s="1"/>
  <c r="AF110" i="1" s="1"/>
  <c r="S137" i="1"/>
  <c r="X137" i="1" s="1"/>
  <c r="AF137" i="1" s="1"/>
  <c r="S140" i="1"/>
  <c r="X140" i="1" s="1"/>
  <c r="AF140" i="1" s="1"/>
  <c r="Q144" i="1"/>
  <c r="S144" i="1" s="1"/>
  <c r="X144" i="1" s="1"/>
  <c r="AF144" i="1" s="1"/>
  <c r="Q148" i="1"/>
  <c r="S148" i="1" s="1"/>
  <c r="X148" i="1" s="1"/>
  <c r="AF148" i="1" s="1"/>
  <c r="Q143" i="1"/>
  <c r="S143" i="1" s="1"/>
  <c r="X143" i="1" s="1"/>
  <c r="AF143" i="1" s="1"/>
  <c r="Q147" i="1"/>
  <c r="S147" i="1" s="1"/>
  <c r="X147" i="1" s="1"/>
  <c r="AF147" i="1" s="1"/>
  <c r="Q142" i="1"/>
  <c r="S142" i="1" s="1"/>
  <c r="X142" i="1" s="1"/>
  <c r="AF142" i="1" s="1"/>
  <c r="Q146" i="1"/>
  <c r="S146" i="1" s="1"/>
  <c r="X146" i="1" s="1"/>
  <c r="AF146" i="1" s="1"/>
  <c r="S138" i="1"/>
  <c r="T138" i="1"/>
  <c r="Q141" i="1"/>
  <c r="S141" i="1" s="1"/>
  <c r="X141" i="1" s="1"/>
  <c r="AF141" i="1" s="1"/>
  <c r="Q145" i="1"/>
  <c r="S145" i="1" s="1"/>
  <c r="X145" i="1" s="1"/>
  <c r="AF145" i="1" s="1"/>
  <c r="AA2" i="1" l="1"/>
  <c r="X2" i="1"/>
  <c r="AF132" i="1"/>
  <c r="AF124" i="1"/>
  <c r="AF173" i="1"/>
  <c r="AF46" i="1"/>
  <c r="AF48" i="1"/>
  <c r="X14" i="1"/>
  <c r="AF14" i="1" s="1"/>
  <c r="X21" i="1"/>
  <c r="AF21" i="1" s="1"/>
  <c r="X20" i="1"/>
  <c r="AF20" i="1" s="1"/>
  <c r="X138" i="1"/>
  <c r="AF138" i="1" s="1"/>
  <c r="X23" i="1"/>
  <c r="AF23" i="1" s="1"/>
  <c r="X43" i="1"/>
  <c r="AF43" i="1" s="1"/>
  <c r="X37" i="1"/>
  <c r="AF37" i="1" s="1"/>
  <c r="X6" i="1"/>
  <c r="AF6" i="1" s="1"/>
  <c r="X68" i="1"/>
  <c r="AF68" i="1" s="1"/>
  <c r="X15" i="1"/>
  <c r="AF15" i="1" s="1"/>
  <c r="X8" i="1"/>
  <c r="AF8" i="1" s="1"/>
  <c r="X32" i="1"/>
  <c r="AF32" i="1" s="1"/>
  <c r="X38" i="1"/>
  <c r="AF38" i="1" s="1"/>
  <c r="X61" i="1"/>
  <c r="AF61" i="1" s="1"/>
  <c r="X71" i="1"/>
  <c r="AF71" i="1" s="1"/>
  <c r="X28" i="1"/>
  <c r="AF28" i="1" s="1"/>
  <c r="X24" i="1"/>
  <c r="AF24" i="1" s="1"/>
  <c r="X4" i="1"/>
  <c r="AF4" i="1" s="1"/>
  <c r="X16" i="1"/>
  <c r="AF16" i="1" s="1"/>
  <c r="X11" i="1"/>
  <c r="AF11" i="1" s="1"/>
  <c r="X25" i="1"/>
  <c r="AF25" i="1" s="1"/>
  <c r="X5" i="1"/>
  <c r="X17" i="1"/>
  <c r="AF17" i="1" s="1"/>
  <c r="X18" i="1"/>
  <c r="AF18" i="1" s="1"/>
  <c r="X10" i="1"/>
  <c r="AF10" i="1" s="1"/>
  <c r="X12" i="1"/>
  <c r="AF12" i="1" s="1"/>
  <c r="X3" i="1"/>
  <c r="AF3" i="1" s="1"/>
  <c r="X7" i="1"/>
  <c r="AF7" i="1" s="1"/>
  <c r="AF19" i="1"/>
  <c r="X104" i="1"/>
  <c r="AF104" i="1" s="1"/>
  <c r="X9" i="1"/>
  <c r="AF9" i="1" s="1"/>
  <c r="X13" i="1"/>
  <c r="AF13" i="1" s="1"/>
  <c r="R135" i="1"/>
  <c r="AB179" i="1"/>
  <c r="AC179" i="1" s="1"/>
  <c r="AD179" i="1" s="1"/>
  <c r="AB132" i="1"/>
  <c r="AC132" i="1" s="1"/>
  <c r="AB160" i="1"/>
  <c r="AC160" i="1" s="1"/>
  <c r="AD160" i="1" s="1"/>
  <c r="AB59" i="1"/>
  <c r="AC59" i="1" s="1"/>
  <c r="AD59" i="1" s="1"/>
  <c r="AF2" i="1" l="1"/>
  <c r="AF5" i="1"/>
  <c r="AF172" i="1"/>
  <c r="AE188" i="1"/>
  <c r="AB24" i="1"/>
  <c r="AC24" i="1" s="1"/>
  <c r="AD24" i="1" s="1"/>
  <c r="AB19" i="1"/>
  <c r="AC19" i="1" s="1"/>
  <c r="AD19" i="1" s="1"/>
  <c r="AB91" i="1"/>
  <c r="AC91" i="1" s="1"/>
  <c r="AD91" i="1" s="1"/>
  <c r="AB115" i="1"/>
  <c r="AC115" i="1" s="1"/>
  <c r="AD115" i="1" s="1"/>
  <c r="AB74" i="1"/>
  <c r="AC74" i="1" s="1"/>
  <c r="AD74" i="1" s="1"/>
  <c r="AB31" i="1"/>
  <c r="AC31" i="1" s="1"/>
  <c r="AD31" i="1" s="1"/>
  <c r="AB86" i="1"/>
  <c r="AC86" i="1" s="1"/>
  <c r="AD86" i="1" s="1"/>
  <c r="AB79" i="1"/>
  <c r="AC79" i="1" s="1"/>
  <c r="AD79" i="1" s="1"/>
  <c r="AB172" i="1"/>
  <c r="AC172" i="1" s="1"/>
  <c r="AD172" i="1" s="1"/>
  <c r="AB54" i="1"/>
  <c r="AC54" i="1" s="1"/>
  <c r="AD54" i="1" s="1"/>
  <c r="AB38" i="1"/>
  <c r="AC38" i="1" s="1"/>
  <c r="AD38" i="1" s="1"/>
  <c r="AB92" i="1"/>
  <c r="AC92" i="1" s="1"/>
  <c r="AD92" i="1" s="1"/>
  <c r="AB62" i="1"/>
  <c r="AC62" i="1" s="1"/>
  <c r="AD62" i="1" s="1"/>
  <c r="AB181" i="1"/>
  <c r="AC181" i="1" s="1"/>
  <c r="AD181" i="1" s="1"/>
  <c r="AB183" i="1"/>
  <c r="AC183" i="1" s="1"/>
  <c r="AD183" i="1" s="1"/>
  <c r="AB139" i="1"/>
  <c r="AC139" i="1" s="1"/>
  <c r="AD139" i="1" s="1"/>
  <c r="AB45" i="1"/>
  <c r="AC45" i="1" s="1"/>
  <c r="AD45" i="1" s="1"/>
  <c r="AB52" i="1"/>
  <c r="AC52" i="1" s="1"/>
  <c r="AD52" i="1" s="1"/>
  <c r="AB124" i="1"/>
  <c r="AC124" i="1" s="1"/>
  <c r="AD124" i="1" s="1"/>
  <c r="AB186" i="1"/>
  <c r="AC186" i="1" s="1"/>
  <c r="AD186" i="1" s="1"/>
  <c r="AB76" i="1"/>
  <c r="AC76" i="1" s="1"/>
  <c r="AD76" i="1" s="1"/>
  <c r="AB55" i="1"/>
  <c r="AC55" i="1" s="1"/>
  <c r="AD55" i="1" s="1"/>
  <c r="AB34" i="1"/>
  <c r="AC34" i="1" s="1"/>
  <c r="AD34" i="1" s="1"/>
  <c r="AB133" i="1"/>
  <c r="AC133" i="1" s="1"/>
  <c r="AD133" i="1" s="1"/>
  <c r="AB84" i="1"/>
  <c r="AC84" i="1" s="1"/>
  <c r="AD84" i="1" s="1"/>
  <c r="AB134" i="1"/>
  <c r="AC134" i="1" s="1"/>
  <c r="AD134" i="1" s="1"/>
  <c r="AB29" i="1"/>
  <c r="AC29" i="1" s="1"/>
  <c r="AD29" i="1" s="1"/>
  <c r="AB69" i="1"/>
  <c r="AC69" i="1" s="1"/>
  <c r="AD69" i="1" s="1"/>
  <c r="AB17" i="1"/>
  <c r="AC17" i="1" s="1"/>
  <c r="AD17" i="1" s="1"/>
  <c r="AB173" i="1"/>
  <c r="AC173" i="1" s="1"/>
  <c r="AD173" i="1" s="1"/>
  <c r="AB40" i="1"/>
  <c r="AB13" i="1"/>
  <c r="AC13" i="1" s="1"/>
  <c r="AD13" i="1" s="1"/>
  <c r="AB119" i="1"/>
  <c r="AC119" i="1" s="1"/>
  <c r="AD119" i="1" s="1"/>
  <c r="AB100" i="1"/>
  <c r="AC100" i="1" s="1"/>
  <c r="AD100" i="1" s="1"/>
  <c r="AB30" i="1"/>
  <c r="AC30" i="1" s="1"/>
  <c r="AD30" i="1" s="1"/>
  <c r="AB98" i="1"/>
  <c r="AB90" i="1"/>
  <c r="AC90" i="1" s="1"/>
  <c r="AD90" i="1" s="1"/>
  <c r="AB83" i="1"/>
  <c r="AC83" i="1" s="1"/>
  <c r="AD83" i="1" s="1"/>
  <c r="AB49" i="1"/>
  <c r="AC49" i="1" s="1"/>
  <c r="AD49" i="1" s="1"/>
  <c r="AB33" i="1"/>
  <c r="AC33" i="1" s="1"/>
  <c r="AD33" i="1" s="1"/>
  <c r="AB97" i="1"/>
  <c r="AC97" i="1" s="1"/>
  <c r="AD97" i="1" s="1"/>
  <c r="AB50" i="1"/>
  <c r="AC50" i="1" s="1"/>
  <c r="AD50" i="1" s="1"/>
  <c r="AB81" i="1"/>
  <c r="AC81" i="1" s="1"/>
  <c r="AD81" i="1" s="1"/>
  <c r="AB18" i="1"/>
  <c r="AC18" i="1" s="1"/>
  <c r="AD18" i="1" s="1"/>
  <c r="AB75" i="1"/>
  <c r="AC75" i="1" s="1"/>
  <c r="AD75" i="1" s="1"/>
  <c r="AB123" i="1"/>
  <c r="AC123" i="1" s="1"/>
  <c r="AD123" i="1" s="1"/>
  <c r="AB176" i="1"/>
  <c r="AC176" i="1" s="1"/>
  <c r="AD176" i="1" s="1"/>
  <c r="AB77" i="1"/>
  <c r="AC77" i="1" s="1"/>
  <c r="AD77" i="1" s="1"/>
  <c r="AB127" i="1"/>
  <c r="AC127" i="1" s="1"/>
  <c r="AD127" i="1" s="1"/>
  <c r="AB171" i="1"/>
  <c r="AC171" i="1" s="1"/>
  <c r="AD171" i="1" s="1"/>
  <c r="AB184" i="1"/>
  <c r="AC184" i="1" s="1"/>
  <c r="AD184" i="1" s="1"/>
  <c r="AB161" i="1"/>
  <c r="AC161" i="1" s="1"/>
  <c r="AD161" i="1" s="1"/>
  <c r="AB118" i="1"/>
  <c r="AC118" i="1" s="1"/>
  <c r="AD118" i="1" s="1"/>
  <c r="AB185" i="1"/>
  <c r="AC185" i="1" s="1"/>
  <c r="AD185" i="1" s="1"/>
  <c r="AB170" i="1"/>
  <c r="AB80" i="1"/>
  <c r="AC80" i="1" s="1"/>
  <c r="AD80" i="1" s="1"/>
  <c r="AB121" i="1"/>
  <c r="AC121" i="1" s="1"/>
  <c r="AD121" i="1" s="1"/>
  <c r="AB87" i="1"/>
  <c r="AC87" i="1" s="1"/>
  <c r="AD87" i="1" s="1"/>
  <c r="AB25" i="1"/>
  <c r="AC25" i="1" s="1"/>
  <c r="AD25" i="1" s="1"/>
  <c r="AB70" i="1"/>
  <c r="AC70" i="1" s="1"/>
  <c r="AD70" i="1" s="1"/>
  <c r="AB27" i="1"/>
  <c r="AC27" i="1" s="1"/>
  <c r="AD27" i="1" s="1"/>
  <c r="AB182" i="1"/>
  <c r="AC182" i="1" s="1"/>
  <c r="AD182" i="1" s="1"/>
  <c r="AB94" i="1"/>
  <c r="AC94" i="1" s="1"/>
  <c r="AD94" i="1" s="1"/>
  <c r="AB95" i="1"/>
  <c r="AC95" i="1" s="1"/>
  <c r="AD95" i="1" s="1"/>
  <c r="AB5" i="1"/>
  <c r="AC5" i="1" s="1"/>
  <c r="AD5" i="1" s="1"/>
  <c r="AB130" i="1"/>
  <c r="AC130" i="1" s="1"/>
  <c r="AD130" i="1" s="1"/>
  <c r="AB126" i="1"/>
  <c r="AC126" i="1" s="1"/>
  <c r="AD126" i="1" s="1"/>
  <c r="AB175" i="1"/>
  <c r="AC175" i="1" s="1"/>
  <c r="AD175" i="1" s="1"/>
  <c r="AB78" i="1"/>
  <c r="AC78" i="1" s="1"/>
  <c r="AD78" i="1" s="1"/>
  <c r="AB99" i="1"/>
  <c r="AC99" i="1" s="1"/>
  <c r="AD99" i="1" s="1"/>
  <c r="AB178" i="1"/>
  <c r="AC178" i="1" s="1"/>
  <c r="AD178" i="1" s="1"/>
  <c r="AB46" i="1"/>
  <c r="AC46" i="1" s="1"/>
  <c r="AD46" i="1" s="1"/>
  <c r="AB58" i="1"/>
  <c r="AC58" i="1" s="1"/>
  <c r="AD58" i="1" s="1"/>
  <c r="AB117" i="1"/>
  <c r="AC117" i="1" s="1"/>
  <c r="AD117" i="1" s="1"/>
  <c r="AB89" i="1"/>
  <c r="AC89" i="1" s="1"/>
  <c r="AD89" i="1" s="1"/>
  <c r="AB4" i="1"/>
  <c r="AC4" i="1" s="1"/>
  <c r="AD4" i="1" s="1"/>
  <c r="AB26" i="1"/>
  <c r="AC26" i="1" s="1"/>
  <c r="AD26" i="1" s="1"/>
  <c r="AB85" i="1"/>
  <c r="AC85" i="1" s="1"/>
  <c r="AD85" i="1" s="1"/>
  <c r="AB163" i="1"/>
  <c r="AC163" i="1" s="1"/>
  <c r="AD163" i="1" s="1"/>
  <c r="AB9" i="1"/>
  <c r="AC9" i="1" s="1"/>
  <c r="AD9" i="1" s="1"/>
  <c r="AB93" i="1"/>
  <c r="AC93" i="1" s="1"/>
  <c r="AD93" i="1" s="1"/>
  <c r="AB96" i="1"/>
  <c r="AC96" i="1" s="1"/>
  <c r="AD96" i="1" s="1"/>
  <c r="AB180" i="1"/>
  <c r="AC180" i="1" s="1"/>
  <c r="AD180" i="1" s="1"/>
  <c r="AB39" i="1"/>
  <c r="AC39" i="1" s="1"/>
  <c r="AD39" i="1" s="1"/>
  <c r="AB68" i="1"/>
  <c r="AC68" i="1" s="1"/>
  <c r="AD68" i="1" s="1"/>
  <c r="AB61" i="1"/>
  <c r="AC61" i="1" s="1"/>
  <c r="AD61" i="1" s="1"/>
  <c r="AB128" i="1"/>
  <c r="AC128" i="1" s="1"/>
  <c r="AD128" i="1" s="1"/>
  <c r="AB116" i="1"/>
  <c r="AC116" i="1" s="1"/>
  <c r="AD116" i="1" s="1"/>
  <c r="AB53" i="1"/>
  <c r="AC53" i="1" s="1"/>
  <c r="AD53" i="1" s="1"/>
  <c r="AB125" i="1"/>
  <c r="AC125" i="1" s="1"/>
  <c r="AD125" i="1" s="1"/>
  <c r="AB174" i="1"/>
  <c r="AC174" i="1" s="1"/>
  <c r="AD174" i="1" s="1"/>
  <c r="AB63" i="1"/>
  <c r="AC63" i="1" s="1"/>
  <c r="AD63" i="1" s="1"/>
  <c r="AB88" i="1"/>
  <c r="AC88" i="1" s="1"/>
  <c r="AD88" i="1" s="1"/>
  <c r="AB120" i="1"/>
  <c r="AC120" i="1" s="1"/>
  <c r="AD120" i="1" s="1"/>
  <c r="AD132" i="1"/>
  <c r="AB122" i="1"/>
  <c r="AC122" i="1" s="1"/>
  <c r="AD122" i="1" s="1"/>
  <c r="AB162" i="1"/>
  <c r="AC162" i="1" s="1"/>
  <c r="AD162" i="1" s="1"/>
  <c r="AB51" i="1"/>
  <c r="AC51" i="1" s="1"/>
  <c r="AD51" i="1" s="1"/>
  <c r="AB15" i="1"/>
  <c r="AC15" i="1" s="1"/>
  <c r="AD15" i="1" s="1"/>
  <c r="AB167" i="1"/>
  <c r="AC167" i="1" s="1"/>
  <c r="AD167" i="1" s="1"/>
  <c r="AB108" i="1"/>
  <c r="AC108" i="1" s="1"/>
  <c r="AD108" i="1" s="1"/>
  <c r="AB103" i="1"/>
  <c r="AC103" i="1" s="1"/>
  <c r="AD103" i="1" s="1"/>
  <c r="AB3" i="1"/>
  <c r="AC3" i="1" s="1"/>
  <c r="AD3" i="1" s="1"/>
  <c r="AB23" i="1"/>
  <c r="AC23" i="1" s="1"/>
  <c r="AD23" i="1" s="1"/>
  <c r="AB168" i="1"/>
  <c r="AC168" i="1" s="1"/>
  <c r="AD168" i="1" s="1"/>
  <c r="AB32" i="1"/>
  <c r="AC32" i="1" s="1"/>
  <c r="AD32" i="1" s="1"/>
  <c r="AB164" i="1"/>
  <c r="AC164" i="1" s="1"/>
  <c r="AD164" i="1" s="1"/>
  <c r="AB104" i="1"/>
  <c r="AC104" i="1" s="1"/>
  <c r="AD104" i="1" s="1"/>
  <c r="AB129" i="1"/>
  <c r="AC129" i="1" s="1"/>
  <c r="AD129" i="1" s="1"/>
  <c r="AB12" i="1"/>
  <c r="AC12" i="1" s="1"/>
  <c r="AD12" i="1" s="1"/>
  <c r="AB28" i="1"/>
  <c r="AC28" i="1" s="1"/>
  <c r="AD28" i="1" s="1"/>
  <c r="AB56" i="1"/>
  <c r="AC56" i="1" s="1"/>
  <c r="AD56" i="1" s="1"/>
  <c r="AB72" i="1"/>
  <c r="AC72" i="1" s="1"/>
  <c r="AD72" i="1" s="1"/>
  <c r="AB114" i="1"/>
  <c r="AC114" i="1" s="1"/>
  <c r="AD114" i="1" s="1"/>
  <c r="AB131" i="1"/>
  <c r="AC131" i="1" s="1"/>
  <c r="AD131" i="1" s="1"/>
  <c r="AB159" i="1"/>
  <c r="AC159" i="1" s="1"/>
  <c r="AD159" i="1" s="1"/>
  <c r="AB142" i="1"/>
  <c r="AC142" i="1" s="1"/>
  <c r="AD142" i="1" s="1"/>
  <c r="AB155" i="1"/>
  <c r="AC155" i="1" s="1"/>
  <c r="AD155" i="1" s="1"/>
  <c r="AB7" i="1"/>
  <c r="AC7" i="1" s="1"/>
  <c r="AD7" i="1" s="1"/>
  <c r="AB35" i="1"/>
  <c r="AC35" i="1" s="1"/>
  <c r="AD35" i="1" s="1"/>
  <c r="AB140" i="1"/>
  <c r="AC140" i="1" s="1"/>
  <c r="AD140" i="1" s="1"/>
  <c r="AB145" i="1"/>
  <c r="AC145" i="1" s="1"/>
  <c r="AD145" i="1" s="1"/>
  <c r="AB156" i="1"/>
  <c r="AC156" i="1" s="1"/>
  <c r="AD156" i="1" s="1"/>
  <c r="AB153" i="1"/>
  <c r="AC153" i="1" s="1"/>
  <c r="AD153" i="1" s="1"/>
  <c r="AB177" i="1"/>
  <c r="AC177" i="1" s="1"/>
  <c r="AD177" i="1" s="1"/>
  <c r="AB113" i="1"/>
  <c r="AC113" i="1" s="1"/>
  <c r="AD113" i="1" s="1"/>
  <c r="AB110" i="1"/>
  <c r="AC110" i="1" s="1"/>
  <c r="AD110" i="1" s="1"/>
  <c r="AB146" i="1"/>
  <c r="AC146" i="1" s="1"/>
  <c r="AD146" i="1" s="1"/>
  <c r="AB158" i="1"/>
  <c r="AC158" i="1" s="1"/>
  <c r="AD158" i="1" s="1"/>
  <c r="AB2" i="1"/>
  <c r="AB150" i="1"/>
  <c r="AC150" i="1" s="1"/>
  <c r="AD150" i="1" s="1"/>
  <c r="AB151" i="1"/>
  <c r="AC151" i="1" s="1"/>
  <c r="AD151" i="1" s="1"/>
  <c r="AB8" i="1"/>
  <c r="AC8" i="1" s="1"/>
  <c r="AD8" i="1" s="1"/>
  <c r="AB6" i="1"/>
  <c r="AC6" i="1" s="1"/>
  <c r="AD6" i="1" s="1"/>
  <c r="AB66" i="1"/>
  <c r="AC66" i="1" s="1"/>
  <c r="AD66" i="1" s="1"/>
  <c r="AB60" i="1"/>
  <c r="AC60" i="1" s="1"/>
  <c r="AD60" i="1" s="1"/>
  <c r="AB109" i="1"/>
  <c r="AC109" i="1" s="1"/>
  <c r="AD109" i="1" s="1"/>
  <c r="AB82" i="1"/>
  <c r="AC82" i="1" s="1"/>
  <c r="AD82" i="1" s="1"/>
  <c r="AB101" i="1"/>
  <c r="AC101" i="1" s="1"/>
  <c r="AD101" i="1" s="1"/>
  <c r="AB111" i="1"/>
  <c r="AC111" i="1" s="1"/>
  <c r="AD111" i="1" s="1"/>
  <c r="AB138" i="1"/>
  <c r="AC138" i="1" s="1"/>
  <c r="AD138" i="1" s="1"/>
  <c r="AB37" i="1"/>
  <c r="AC37" i="1" s="1"/>
  <c r="AD37" i="1" s="1"/>
  <c r="AB10" i="1"/>
  <c r="AC10" i="1" s="1"/>
  <c r="AD10" i="1" s="1"/>
  <c r="AB64" i="1"/>
  <c r="AC64" i="1" s="1"/>
  <c r="AD64" i="1" s="1"/>
  <c r="AB42" i="1"/>
  <c r="AC42" i="1" s="1"/>
  <c r="AD42" i="1" s="1"/>
  <c r="AB16" i="1"/>
  <c r="AC16" i="1" s="1"/>
  <c r="AD16" i="1" s="1"/>
  <c r="AB14" i="1"/>
  <c r="AC14" i="1" s="1"/>
  <c r="AD14" i="1" s="1"/>
  <c r="AB47" i="1"/>
  <c r="AC47" i="1" s="1"/>
  <c r="AD47" i="1" s="1"/>
  <c r="AB105" i="1"/>
  <c r="AC105" i="1" s="1"/>
  <c r="AD105" i="1" s="1"/>
  <c r="AB169" i="1"/>
  <c r="AC169" i="1" s="1"/>
  <c r="AD169" i="1" s="1"/>
  <c r="AB112" i="1"/>
  <c r="AC112" i="1" s="1"/>
  <c r="AD112" i="1" s="1"/>
  <c r="AB107" i="1"/>
  <c r="AC107" i="1" s="1"/>
  <c r="AD107" i="1" s="1"/>
  <c r="AB41" i="1"/>
  <c r="AC41" i="1" s="1"/>
  <c r="AD41" i="1" s="1"/>
  <c r="AB43" i="1"/>
  <c r="AC43" i="1" s="1"/>
  <c r="AD43" i="1" s="1"/>
  <c r="AB65" i="1"/>
  <c r="AC65" i="1" s="1"/>
  <c r="AD65" i="1" s="1"/>
  <c r="AB71" i="1"/>
  <c r="AC71" i="1" s="1"/>
  <c r="AD71" i="1" s="1"/>
  <c r="AB165" i="1"/>
  <c r="AC165" i="1" s="1"/>
  <c r="AD165" i="1" s="1"/>
  <c r="AB21" i="1"/>
  <c r="AC21" i="1" s="1"/>
  <c r="AD21" i="1" s="1"/>
  <c r="AB106" i="1"/>
  <c r="AC106" i="1" s="1"/>
  <c r="AD106" i="1" s="1"/>
  <c r="AB143" i="1"/>
  <c r="AC143" i="1" s="1"/>
  <c r="AD143" i="1" s="1"/>
  <c r="AB57" i="1"/>
  <c r="AC57" i="1" s="1"/>
  <c r="AD57" i="1" s="1"/>
  <c r="AB67" i="1"/>
  <c r="AC67" i="1" s="1"/>
  <c r="AD67" i="1" s="1"/>
  <c r="AB148" i="1"/>
  <c r="AC148" i="1" s="1"/>
  <c r="AD148" i="1" s="1"/>
  <c r="AB152" i="1"/>
  <c r="AC152" i="1" s="1"/>
  <c r="AD152" i="1" s="1"/>
  <c r="AB102" i="1"/>
  <c r="AC102" i="1" s="1"/>
  <c r="AD102" i="1" s="1"/>
  <c r="AB137" i="1"/>
  <c r="AC137" i="1" s="1"/>
  <c r="AD137" i="1" s="1"/>
  <c r="AB147" i="1"/>
  <c r="AC147" i="1" s="1"/>
  <c r="AD147" i="1" s="1"/>
  <c r="AB149" i="1"/>
  <c r="AC149" i="1" s="1"/>
  <c r="AD149" i="1" s="1"/>
  <c r="AB11" i="1"/>
  <c r="AC11" i="1" s="1"/>
  <c r="AD11" i="1" s="1"/>
  <c r="AB20" i="1"/>
  <c r="AC20" i="1" s="1"/>
  <c r="AD20" i="1" s="1"/>
  <c r="AB48" i="1"/>
  <c r="AC48" i="1" s="1"/>
  <c r="AD48" i="1" s="1"/>
  <c r="AB144" i="1"/>
  <c r="AC144" i="1" s="1"/>
  <c r="AD144" i="1" s="1"/>
  <c r="AB141" i="1"/>
  <c r="AC141" i="1" s="1"/>
  <c r="AD141" i="1" s="1"/>
  <c r="AB154" i="1"/>
  <c r="AC154" i="1" s="1"/>
  <c r="AD154" i="1" s="1"/>
  <c r="AC170" i="1" l="1"/>
  <c r="AB188" i="1"/>
  <c r="AC40" i="1"/>
  <c r="AD40" i="1" s="1"/>
  <c r="AC98" i="1"/>
  <c r="AD98" i="1" s="1"/>
  <c r="AF188" i="1"/>
  <c r="AC2" i="1"/>
  <c r="AD170" i="1" l="1"/>
  <c r="AC188" i="1"/>
  <c r="AD2" i="1"/>
  <c r="AD188" i="1" l="1"/>
  <c r="C36" i="6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OasisAcc</author>
  </authors>
  <commentList>
    <comment ref="E21" authorId="0" shapeId="0" xr:uid="{860EB60F-18D0-42B9-AACD-D2F3C00B6F73}">
      <text>
        <r>
          <rPr>
            <b/>
            <sz val="9"/>
            <color indexed="81"/>
            <rFont val="Tahoma"/>
            <family val="2"/>
          </rPr>
          <t>100 dhs increased in basic wef May 2026</t>
        </r>
      </text>
    </comment>
    <comment ref="J22" authorId="0" shapeId="0" xr:uid="{51A141E8-DF91-4D35-8032-8117EABF98C0}">
      <text>
        <r>
          <rPr>
            <b/>
            <sz val="9"/>
            <color indexed="81"/>
            <rFont val="Tahoma"/>
            <family val="2"/>
          </rPr>
          <t xml:space="preserve">He was not abset, Off for visa renewal medical. </t>
        </r>
      </text>
    </comment>
    <comment ref="J36" authorId="0" shapeId="0" xr:uid="{97044005-EBAA-44AA-82C7-3F0AE8BB9633}">
      <text>
        <r>
          <rPr>
            <b/>
            <sz val="9"/>
            <color indexed="81"/>
            <rFont val="Tahoma"/>
            <family val="2"/>
          </rPr>
          <t>He is having 2 sick leave. 16th and 17th</t>
        </r>
      </text>
    </comment>
    <comment ref="J52" authorId="0" shapeId="0" xr:uid="{A25F2296-255F-4C93-8BAE-44C9ACA780FB}">
      <text>
        <r>
          <rPr>
            <b/>
            <sz val="14"/>
            <color indexed="81"/>
            <rFont val="Tahoma"/>
            <family val="2"/>
          </rPr>
          <t xml:space="preserve">He fell down at site due to dehydration. There is no hospital nearby habshan site. So, we will provide him only 2 days attendance. 3 Days Absent. </t>
        </r>
      </text>
    </comment>
    <comment ref="J66" authorId="0" shapeId="0" xr:uid="{0210EFB3-885A-4FE2-ACE2-980D9E73F8D7}">
      <text>
        <r>
          <rPr>
            <sz val="14"/>
            <color indexed="81"/>
            <rFont val="Tahoma"/>
            <family val="2"/>
          </rPr>
          <t xml:space="preserve">He was absent only 1 day at Jihua after that got site changed due to health issue. He was camp idle.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0" authorId="0" shapeId="0" xr:uid="{2E5AA14B-65FF-4B4F-9A20-4F872B679218}">
      <text>
        <r>
          <rPr>
            <b/>
            <sz val="9"/>
            <color indexed="81"/>
            <rFont val="Tahoma"/>
            <family val="2"/>
          </rPr>
          <t xml:space="preserve">He got sick at work site. They returned him to the camp.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HAREESH KAKKANATT MANI NAIR</author>
    <author>OasisAcc</author>
  </authors>
  <commentList>
    <comment ref="R4" authorId="0" shapeId="0" xr:uid="{979A7755-9D38-468E-9339-E4B3C0F0ECA1}">
      <text>
        <r>
          <rPr>
            <sz val="11"/>
            <color theme="1"/>
            <rFont val="Calibri"/>
            <family val="2"/>
            <scheme val="minor"/>
          </rPr>
          <t>PUBLIC HOLIDAY</t>
        </r>
      </text>
    </comment>
    <comment ref="N11" authorId="0" shapeId="0" xr:uid="{1599F6E5-2386-42BA-B432-C180AC9FE584}">
      <text>
        <r>
          <rPr>
            <sz val="11"/>
            <color theme="1"/>
            <rFont val="Calibri"/>
            <family val="2"/>
            <scheme val="minor"/>
          </rPr>
          <t>Off for Visa Renewal Medical</t>
        </r>
      </text>
    </comment>
    <comment ref="W12" authorId="0" shapeId="0" xr:uid="{3E29F240-DD14-4341-989A-0E26A8DA4D2D}">
      <text>
        <r>
          <rPr>
            <sz val="11"/>
            <color theme="1"/>
            <rFont val="Calibri"/>
            <family val="2"/>
            <scheme val="minor"/>
          </rPr>
          <t xml:space="preserve">Off for Visa renewal Medical
</t>
        </r>
      </text>
    </comment>
    <comment ref="N24" authorId="0" shapeId="0" xr:uid="{8D1566BB-47F2-4D27-B85D-5A6719B02F45}">
      <text>
        <r>
          <rPr>
            <sz val="11"/>
            <color theme="1"/>
            <rFont val="Calibri"/>
            <family val="2"/>
            <scheme val="minor"/>
          </rPr>
          <t>Off for Visa Renewal Medical</t>
        </r>
      </text>
    </comment>
    <comment ref="AA45" authorId="0" shapeId="0" xr:uid="{EE0595A6-F35B-4EDD-BFE2-5E384D286B9E}">
      <text>
        <r>
          <rPr>
            <sz val="11"/>
            <color theme="1"/>
            <rFont val="Calibri"/>
            <family val="2"/>
            <scheme val="minor"/>
          </rPr>
          <t xml:space="preserve">Off for Visa Medical. Camp Idle. </t>
        </r>
      </text>
    </comment>
    <comment ref="T46" authorId="1" shapeId="0" xr:uid="{517A4875-3576-4EEC-8B4F-6987460541D9}">
      <text>
        <r>
          <rPr>
            <b/>
            <sz val="9"/>
            <color indexed="81"/>
            <rFont val="Tahoma"/>
            <family val="2"/>
          </rPr>
          <t>It was mentioned as absent in my summary.</t>
        </r>
      </text>
    </comment>
    <comment ref="AC58" authorId="0" shapeId="0" xr:uid="{188300D5-F0BE-43EB-8EA5-A0856D049F9C}">
      <text>
        <r>
          <rPr>
            <sz val="11"/>
            <color theme="1"/>
            <rFont val="Calibri"/>
            <family val="2"/>
            <scheme val="minor"/>
          </rPr>
          <t xml:space="preserve">Off for Visa Medical. Camp Idle. </t>
        </r>
      </text>
    </comment>
    <comment ref="AA59" authorId="0" shapeId="0" xr:uid="{C8D93A17-7085-447B-B068-06EA1AA8FA20}">
      <text>
        <r>
          <rPr>
            <sz val="11"/>
            <color theme="1"/>
            <rFont val="Calibri"/>
            <family val="2"/>
            <scheme val="minor"/>
          </rPr>
          <t xml:space="preserve">Off for Visa Medical. Camp Idle. </t>
        </r>
      </text>
    </comment>
    <comment ref="AF79" authorId="1" shapeId="0" xr:uid="{C81A2BB9-60C6-4592-89F8-FCED8987BB00}">
      <text>
        <r>
          <rPr>
            <b/>
            <sz val="9"/>
            <color indexed="81"/>
            <rFont val="Tahoma"/>
            <charset val="1"/>
          </rPr>
          <t xml:space="preserve">It was absent in Monthly Report. He got attendance. </t>
        </r>
      </text>
    </comment>
    <comment ref="T121" authorId="1" shapeId="0" xr:uid="{4EF03E24-6B34-4EEE-8CC2-71FAD1BFD2F8}">
      <text>
        <r>
          <rPr>
            <b/>
            <sz val="9"/>
            <color indexed="81"/>
            <rFont val="Tahoma"/>
            <family val="2"/>
          </rPr>
          <t>he was sick. No Hospital at Site</t>
        </r>
      </text>
    </comment>
  </commentList>
</comments>
</file>

<file path=xl/sharedStrings.xml><?xml version="1.0" encoding="utf-8"?>
<sst xmlns="http://schemas.openxmlformats.org/spreadsheetml/2006/main" count="4736" uniqueCount="636">
  <si>
    <t>Sl</t>
  </si>
  <si>
    <t>ID</t>
  </si>
  <si>
    <t>Names</t>
  </si>
  <si>
    <t>Mol Person ID</t>
  </si>
  <si>
    <t>Cont salry</t>
  </si>
  <si>
    <t>Basic</t>
  </si>
  <si>
    <t>days</t>
  </si>
  <si>
    <t>Abs.</t>
  </si>
  <si>
    <t>pres</t>
  </si>
  <si>
    <t>Basic Salary</t>
  </si>
  <si>
    <t>Wps OT Hours</t>
  </si>
  <si>
    <t>WPS OT Salary</t>
  </si>
  <si>
    <t>NON wps OT Hours</t>
  </si>
  <si>
    <t>NON wps OT Salary</t>
  </si>
  <si>
    <t>Sunday OT Hours</t>
  </si>
  <si>
    <t>Sunday OT Amount</t>
  </si>
  <si>
    <t>food days</t>
  </si>
  <si>
    <t>Food Allow</t>
  </si>
  <si>
    <t>Food Amount</t>
  </si>
  <si>
    <t>Full att.</t>
  </si>
  <si>
    <t>Incen.</t>
  </si>
  <si>
    <t>Add.</t>
  </si>
  <si>
    <t>Dedu.</t>
  </si>
  <si>
    <t>Total 
salary</t>
  </si>
  <si>
    <t>Addition Reason</t>
  </si>
  <si>
    <t>Deduction 
Reason</t>
  </si>
  <si>
    <t>WPS basic</t>
  </si>
  <si>
    <t xml:space="preserve">
NON WPS -</t>
  </si>
  <si>
    <t>Total Sent</t>
  </si>
  <si>
    <t>Balance</t>
  </si>
  <si>
    <t>WPS Provided</t>
  </si>
  <si>
    <t>Non WPS to be sent</t>
  </si>
  <si>
    <t>MD SHAHBAZ MUHAMMAD AFZAL</t>
  </si>
  <si>
    <t>20019038501917</t>
  </si>
  <si>
    <t>AMIR SHAHZAD GHULAM RASOOL</t>
  </si>
  <si>
    <t>20014098680204</t>
  </si>
  <si>
    <t>Horamoni</t>
  </si>
  <si>
    <t>30115037730750</t>
  </si>
  <si>
    <t>KAMAL ABDUR RAHMAN</t>
  </si>
  <si>
    <t>30101017385850</t>
  </si>
  <si>
    <t>MUBARAK KALU BHUIYAN</t>
  </si>
  <si>
    <t>30110108452099</t>
  </si>
  <si>
    <t>MORSHAD ALAM ABUL KALAM</t>
  </si>
  <si>
    <t>30121098730725</t>
  </si>
  <si>
    <t>AZIZAR MD ROSHAN</t>
  </si>
  <si>
    <t>30106097574397</t>
  </si>
  <si>
    <t>Abu Bakkar</t>
  </si>
  <si>
    <t>30115068845431</t>
  </si>
  <si>
    <t>NAZRUL ABDUL MALAK</t>
  </si>
  <si>
    <t>30111058345445</t>
  </si>
  <si>
    <t>JAKIR HOSSAIN SIRAJ UDDOULA</t>
  </si>
  <si>
    <t>30121088324437</t>
  </si>
  <si>
    <t>Jamal Abdul Rahman</t>
  </si>
  <si>
    <t>30115037745449</t>
  </si>
  <si>
    <t>DEBU BAIRAGI BAIRAGI DHIREN</t>
  </si>
  <si>
    <t>10003037114062</t>
  </si>
  <si>
    <t>LALAN PRASAD INDRASAN PRASAD</t>
  </si>
  <si>
    <t>10004028926930</t>
  </si>
  <si>
    <t>LAKSHMAN BISWAS ANANDA</t>
  </si>
  <si>
    <t>10002048850784</t>
  </si>
  <si>
    <t>Inayat Ullah</t>
  </si>
  <si>
    <t>20006118663043</t>
  </si>
  <si>
    <t>TAUSEEF ALI BAGHDAD SHAH</t>
  </si>
  <si>
    <t>20001019222955</t>
  </si>
  <si>
    <t>Imdad Ali</t>
  </si>
  <si>
    <t>AZEEM KHAN</t>
  </si>
  <si>
    <t>RIYAJUDDEEN ANSARI RAHAMAN ANSARI</t>
  </si>
  <si>
    <t>10025038772389</t>
  </si>
  <si>
    <t>DIPAK RAM BABAN RAM</t>
  </si>
  <si>
    <t>Arsalan</t>
  </si>
  <si>
    <t>20019089539915</t>
  </si>
  <si>
    <t>RAM VILASH SINGH YADAV</t>
  </si>
  <si>
    <t>10001017970483</t>
  </si>
  <si>
    <t>RAJNESH SVAMEENATH</t>
  </si>
  <si>
    <t>10001128170446</t>
  </si>
  <si>
    <t>SHAILESH YADAV VEERA YADAV</t>
  </si>
  <si>
    <t>10005029571583</t>
  </si>
  <si>
    <t xml:space="preserve">Mahendra Thapa </t>
  </si>
  <si>
    <t>BIKRAM YADAV TILAKRAM YADAV</t>
  </si>
  <si>
    <t>31621058353025</t>
  </si>
  <si>
    <t>GORAY RAWAL RIULYA RAWAL</t>
  </si>
  <si>
    <t>31602018468010</t>
  </si>
  <si>
    <t>KHALIQ NOOR BADSHAH KHAN</t>
  </si>
  <si>
    <t>20019069341390</t>
  </si>
  <si>
    <t>AMIT KUMAR UPADHYAY</t>
  </si>
  <si>
    <t>10018108203364</t>
  </si>
  <si>
    <t>FAJALE ALAM</t>
  </si>
  <si>
    <t>10016058097851</t>
  </si>
  <si>
    <t>TEJ BAHADUR RANA</t>
  </si>
  <si>
    <t>RABINDRA DAS TATMA</t>
  </si>
  <si>
    <t>31624019175423</t>
  </si>
  <si>
    <t>SANJAY KUMAR MANDAL</t>
  </si>
  <si>
    <t>31606019267844</t>
  </si>
  <si>
    <t>Manoj Yadav</t>
  </si>
  <si>
    <t>10001018146194</t>
  </si>
  <si>
    <t>Shankar singh</t>
  </si>
  <si>
    <t>10013098624851</t>
  </si>
  <si>
    <t>Girijesh Paras Nath</t>
  </si>
  <si>
    <t>10001018730320</t>
  </si>
  <si>
    <t>Ram lakhan</t>
  </si>
  <si>
    <t>10016029156624</t>
  </si>
  <si>
    <t>BAKSHISH JABBAR</t>
  </si>
  <si>
    <t>DARSHAN AMRIT PAL</t>
  </si>
  <si>
    <t>10016098561592</t>
  </si>
  <si>
    <t>PARDESHI GURUSANT</t>
  </si>
  <si>
    <t>10001019462216</t>
  </si>
  <si>
    <t>Arvind Kumar</t>
  </si>
  <si>
    <t>10001019319956</t>
  </si>
  <si>
    <t>Sanjit Avdhmani</t>
  </si>
  <si>
    <t>10001128514135</t>
  </si>
  <si>
    <t>Kishore Baitha</t>
  </si>
  <si>
    <t>10015118329859</t>
  </si>
  <si>
    <t>ACHINTYA ROY CHITTAR</t>
  </si>
  <si>
    <t>Suresh Bista</t>
  </si>
  <si>
    <t>AHAMD ANSARI ATABUL</t>
  </si>
  <si>
    <t>RAJ KUMAR BAL SURYA</t>
  </si>
  <si>
    <t>31606069191337</t>
  </si>
  <si>
    <t>JANAK YADAV SHIV S</t>
  </si>
  <si>
    <t>31629059755900</t>
  </si>
  <si>
    <t>AMRAT ULLAH MULTAN</t>
  </si>
  <si>
    <t>20001019773623</t>
  </si>
  <si>
    <t>SHAH NAWAZ KHAISTA GUL</t>
  </si>
  <si>
    <t>20001010043962</t>
  </si>
  <si>
    <t>900</t>
  </si>
  <si>
    <t>SHAMROZ NASRA DIN</t>
  </si>
  <si>
    <t>20001019208020</t>
  </si>
  <si>
    <t>MUNAWAR SAEED AHMAD</t>
  </si>
  <si>
    <t>20002017889003</t>
  </si>
  <si>
    <t>HABIL MIA JAMALIDDIN</t>
  </si>
  <si>
    <t>30120078815670</t>
  </si>
  <si>
    <t>JAFAR UDDIN KADAM ALI</t>
  </si>
  <si>
    <t>30101018573498</t>
  </si>
  <si>
    <t>HARBHAJAN SINGH SARWAN</t>
  </si>
  <si>
    <t>10015026917204</t>
  </si>
  <si>
    <t>RAFIQUL SHORIF KUBAD</t>
  </si>
  <si>
    <t>30102058015696</t>
  </si>
  <si>
    <t>MAMUN JAYNAL ABEDIN</t>
  </si>
  <si>
    <t>30110108615606</t>
  </si>
  <si>
    <t>DALOWER HOSSAN</t>
  </si>
  <si>
    <t>30125017837560</t>
  </si>
  <si>
    <t>KAMALUDDIN AFILUDDIN</t>
  </si>
  <si>
    <t>30110108103145</t>
  </si>
  <si>
    <t>C007</t>
  </si>
  <si>
    <t>BODIRUJAMAN IMAMUL H</t>
  </si>
  <si>
    <t>C008</t>
  </si>
  <si>
    <t>HASAN SEKH EKDAR SEK</t>
  </si>
  <si>
    <t>10001017792106</t>
  </si>
  <si>
    <t>C015</t>
  </si>
  <si>
    <t>JAVED KHAN JUMMAN</t>
  </si>
  <si>
    <t>C025</t>
  </si>
  <si>
    <t>Narajul sheikh</t>
  </si>
  <si>
    <t>C032</t>
  </si>
  <si>
    <t>NUR ISLAM SEIKH SULT</t>
  </si>
  <si>
    <t>C042</t>
  </si>
  <si>
    <t>MUHAMMAD KAMIL ABDUL</t>
  </si>
  <si>
    <t>C045</t>
  </si>
  <si>
    <t>MOHAMMAD NUR KALAM M</t>
  </si>
  <si>
    <t>10024128889521</t>
  </si>
  <si>
    <t>C050</t>
  </si>
  <si>
    <t>KAWSAR ALI MAJIBUL S</t>
  </si>
  <si>
    <t>C056</t>
  </si>
  <si>
    <t>SAID AHMED QURESHI</t>
  </si>
  <si>
    <t>C060</t>
  </si>
  <si>
    <t>MAHARFUL SEKH JANSAD</t>
  </si>
  <si>
    <t>C070</t>
  </si>
  <si>
    <t>ABDUL HAI AAHRAHIM S</t>
  </si>
  <si>
    <t>10001018773365</t>
  </si>
  <si>
    <t>C071</t>
  </si>
  <si>
    <t>SEIKH YEASIN RAHAMAN</t>
  </si>
  <si>
    <t>G19</t>
  </si>
  <si>
    <t>ABUL kALAM jasim Uddin</t>
  </si>
  <si>
    <t>30105029388010</t>
  </si>
  <si>
    <t>G106</t>
  </si>
  <si>
    <t>Rabindra kumar mahara</t>
  </si>
  <si>
    <t>G108</t>
  </si>
  <si>
    <t>Sundar ram</t>
  </si>
  <si>
    <t>G109</t>
  </si>
  <si>
    <t>Bishambar yadav</t>
  </si>
  <si>
    <t>G110</t>
  </si>
  <si>
    <t>biltu sada</t>
  </si>
  <si>
    <t>G111</t>
  </si>
  <si>
    <t>suresh das kathabaniya</t>
  </si>
  <si>
    <t>G115</t>
  </si>
  <si>
    <t>shiv kumar  mochi</t>
  </si>
  <si>
    <t>G117</t>
  </si>
  <si>
    <t>Shiv kumar Ray</t>
  </si>
  <si>
    <t>G118</t>
  </si>
  <si>
    <t>Shree Ram Mandal</t>
  </si>
  <si>
    <t>G12</t>
  </si>
  <si>
    <t xml:space="preserve">HABIB UR REHMAN </t>
  </si>
  <si>
    <t>G122</t>
  </si>
  <si>
    <t>Nanu Sada</t>
  </si>
  <si>
    <t>G123</t>
  </si>
  <si>
    <t>Pramod kumar Mandal</t>
  </si>
  <si>
    <t>G125</t>
  </si>
  <si>
    <t>Ram jiban yadav</t>
  </si>
  <si>
    <t>G126</t>
  </si>
  <si>
    <t>Dinesh kumar Yadav</t>
  </si>
  <si>
    <t>G129</t>
  </si>
  <si>
    <t>Ram Kishor Kapar</t>
  </si>
  <si>
    <t>G132</t>
  </si>
  <si>
    <t>Shiv Chandra Yadav</t>
  </si>
  <si>
    <t>G134</t>
  </si>
  <si>
    <t>Dipendra ray yadav prem chandra ray</t>
  </si>
  <si>
    <t>G138</t>
  </si>
  <si>
    <t>PANKAJ kumar mochi</t>
  </si>
  <si>
    <t>G139</t>
  </si>
  <si>
    <t>Hairindar hajari</t>
  </si>
  <si>
    <t>G145</t>
  </si>
  <si>
    <t xml:space="preserve"> JIBAN KUMAR THAKUR</t>
  </si>
  <si>
    <t>G148</t>
  </si>
  <si>
    <t>Sundar kumar Saday Anesiya</t>
  </si>
  <si>
    <t>G151</t>
  </si>
  <si>
    <t>Ganesh Rai Kul Bahadur Rai</t>
  </si>
  <si>
    <t>G152</t>
  </si>
  <si>
    <t>Dhanbir Mandal Biltu Mandal</t>
  </si>
  <si>
    <t>G155</t>
  </si>
  <si>
    <t>Sunil Kumar Yadav Rama Tarait</t>
  </si>
  <si>
    <t>G161</t>
  </si>
  <si>
    <t>Kumar Bishwakarma Sahaman</t>
  </si>
  <si>
    <t>G162</t>
  </si>
  <si>
    <t>Asis Khatwe Jang Bahadur Khatwe</t>
  </si>
  <si>
    <t>G167</t>
  </si>
  <si>
    <t>Raj kumar Sada Laxman Sada Mushar</t>
  </si>
  <si>
    <t>G168</t>
  </si>
  <si>
    <t>Mukesh Sada Ram ekbal sada</t>
  </si>
  <si>
    <t>G169</t>
  </si>
  <si>
    <t>Lalku Sada Laddu Sada</t>
  </si>
  <si>
    <t>G171</t>
  </si>
  <si>
    <t>Jirekhan Majhi mushar Rambilas Majhi</t>
  </si>
  <si>
    <t>G172</t>
  </si>
  <si>
    <t>Basu Sada Gunten Sada Mushar</t>
  </si>
  <si>
    <t>G173</t>
  </si>
  <si>
    <t>JOGENDRA YADAV RAMPRIT YADAV</t>
  </si>
  <si>
    <t>G175</t>
  </si>
  <si>
    <t>BHUBAN BK SETE KAMI</t>
  </si>
  <si>
    <t>G176</t>
  </si>
  <si>
    <t>GURU SHARAN MAHATO</t>
  </si>
  <si>
    <t>G177</t>
  </si>
  <si>
    <t>AMINDRA MAJHI MUSHAR</t>
  </si>
  <si>
    <t>G178</t>
  </si>
  <si>
    <t>PRAMOD SAHNI RAUDI SAHNI</t>
  </si>
  <si>
    <t>G180</t>
  </si>
  <si>
    <t>SUMAN B K SETE KAMI</t>
  </si>
  <si>
    <t>G182</t>
  </si>
  <si>
    <t>RAJARAM SADA INDRE SADA</t>
  </si>
  <si>
    <t>G183</t>
  </si>
  <si>
    <t>Ram Kumar mahara saukhiya Chamar</t>
  </si>
  <si>
    <t>G184</t>
  </si>
  <si>
    <t>Indra Paija Pun Khumbahadur paija pun</t>
  </si>
  <si>
    <t>G185</t>
  </si>
  <si>
    <t>Debu Pun Jim Bahadur Pun</t>
  </si>
  <si>
    <t>G188</t>
  </si>
  <si>
    <t>Anamol BK Chhabilal BK</t>
  </si>
  <si>
    <t>G190</t>
  </si>
  <si>
    <t>MD Raihan MD Manjo Miah</t>
  </si>
  <si>
    <t>G191</t>
  </si>
  <si>
    <t>Shaju Miah MD Mahmud Ali</t>
  </si>
  <si>
    <t>G192</t>
  </si>
  <si>
    <t>Abul Basher Abdul Munaf</t>
  </si>
  <si>
    <t>G193</t>
  </si>
  <si>
    <t>Shafiq Miah Forid Meah</t>
  </si>
  <si>
    <t>G194</t>
  </si>
  <si>
    <t>MD Sakil Khan MD Abul Kasim</t>
  </si>
  <si>
    <t>G199</t>
  </si>
  <si>
    <t>MD Sorif Mia MD Kalam Mia</t>
  </si>
  <si>
    <t>G200</t>
  </si>
  <si>
    <t>Mohammad Farvez Manjur Alam</t>
  </si>
  <si>
    <t>G202</t>
  </si>
  <si>
    <t>MD Kamal Mia MD Abdus Salam</t>
  </si>
  <si>
    <t>G204</t>
  </si>
  <si>
    <t>Muhammad Zohaib Sabir Khan</t>
  </si>
  <si>
    <t>G205</t>
  </si>
  <si>
    <t>MD Sifur Rohman Mamun Forid Mia</t>
  </si>
  <si>
    <t>G206</t>
  </si>
  <si>
    <t>Hasan Mahmud MD Abdul Hameed</t>
  </si>
  <si>
    <t>G207</t>
  </si>
  <si>
    <t>Muhammad Ullah Bas Larif</t>
  </si>
  <si>
    <t>G208</t>
  </si>
  <si>
    <t>Mohammad Jakir Hossain Abdul Jalil</t>
  </si>
  <si>
    <t>G209</t>
  </si>
  <si>
    <t>MD Aman Ullah Md Siraj Uddin</t>
  </si>
  <si>
    <t>G210</t>
  </si>
  <si>
    <t>MD Sumsul Alom MD Sukur Ali</t>
  </si>
  <si>
    <t>G211</t>
  </si>
  <si>
    <t>Nur Islam Shahidul Islam</t>
  </si>
  <si>
    <t>G212</t>
  </si>
  <si>
    <t>Turan Miah Asid Miah</t>
  </si>
  <si>
    <t>G213</t>
  </si>
  <si>
    <t>MD Raju Ahmed MD Faruk Ahmed</t>
  </si>
  <si>
    <t>G214</t>
  </si>
  <si>
    <t xml:space="preserve">Kabir MD Ful Miah </t>
  </si>
  <si>
    <t>G215</t>
  </si>
  <si>
    <t>MD SHIRAJUL ISLAM</t>
  </si>
  <si>
    <t>G217</t>
  </si>
  <si>
    <t>Muhammad Qazim</t>
  </si>
  <si>
    <t>G218</t>
  </si>
  <si>
    <t>Muhammad Sarib Azeem</t>
  </si>
  <si>
    <t>G219</t>
  </si>
  <si>
    <t>ALI RAZA MUHAMMAD SABIR</t>
  </si>
  <si>
    <t>G220</t>
  </si>
  <si>
    <t>ISRAR SHAH ZAREEN SHAH</t>
  </si>
  <si>
    <t>G221</t>
  </si>
  <si>
    <t>AAMIR HUSSAIN MUHAMMAD ASLAM</t>
  </si>
  <si>
    <t>G222</t>
  </si>
  <si>
    <t>Rashid Maqbool Maqbool Ahmad</t>
  </si>
  <si>
    <t>G223</t>
  </si>
  <si>
    <t>JAZIB ALI MUHAMMAD ASLAM</t>
  </si>
  <si>
    <t>G224</t>
  </si>
  <si>
    <t>ZAIN HAYYAT NUSRAT HAYYAT</t>
  </si>
  <si>
    <t>G225</t>
  </si>
  <si>
    <t>FAIYAJ ALAM KUDDUS HAJAM MIYAN</t>
  </si>
  <si>
    <t>G226</t>
  </si>
  <si>
    <t>SULTAN HASMUDDIN</t>
  </si>
  <si>
    <t>G227</t>
  </si>
  <si>
    <t>SATTAR PANGUL</t>
  </si>
  <si>
    <t>G228</t>
  </si>
  <si>
    <t>TASAWAR KHAN LIBAS GUL</t>
  </si>
  <si>
    <t>G229</t>
  </si>
  <si>
    <t>JAMROZ KHAN YAD MIR SHAH</t>
  </si>
  <si>
    <t>G230</t>
  </si>
  <si>
    <t>MUHAMMAD FAIZAN SEAF ULLAH</t>
  </si>
  <si>
    <t>G231</t>
  </si>
  <si>
    <t>Usman Ahmad muhammad Rafiq</t>
  </si>
  <si>
    <t>G233</t>
  </si>
  <si>
    <t>IRFAN AHMED MUHAMMAD ILYAS</t>
  </si>
  <si>
    <t>G234</t>
  </si>
  <si>
    <t>AMIR SOHAIL ADAM KHAN</t>
  </si>
  <si>
    <t>G235</t>
  </si>
  <si>
    <t>USMAN NAJEEB NAJEEB ULLAH</t>
  </si>
  <si>
    <t>G236</t>
  </si>
  <si>
    <t>ZULQARNAIN MUHAMMAD HUSSAIN</t>
  </si>
  <si>
    <t>G237</t>
  </si>
  <si>
    <t>WAHEED ULLAH KHAN NOOR KHAN</t>
  </si>
  <si>
    <t>G238</t>
  </si>
  <si>
    <t>SULIMAN KHAN ALI BAHADAR</t>
  </si>
  <si>
    <t>G239</t>
  </si>
  <si>
    <t>RAHMAN ALI MUHAMMAD KARAM</t>
  </si>
  <si>
    <t>G24</t>
  </si>
  <si>
    <t>DHANIK LAL MAHARA</t>
  </si>
  <si>
    <t>G240</t>
  </si>
  <si>
    <t>Muhammad Ahmad Ashiq Hussain</t>
  </si>
  <si>
    <t>G242</t>
  </si>
  <si>
    <t>SAMI ULLAH UMAR DRAZ</t>
  </si>
  <si>
    <t>G243</t>
  </si>
  <si>
    <t>SHERAZ KHAN SHER ALI KHAN</t>
  </si>
  <si>
    <t>G244</t>
  </si>
  <si>
    <t>MUHAMMAD RIZWAN MUHAMMAD JAMIL</t>
  </si>
  <si>
    <t>G245</t>
  </si>
  <si>
    <t>IMAD KHAN SHEREEN ZADA</t>
  </si>
  <si>
    <t>G246</t>
  </si>
  <si>
    <t>MUNSIF KHAN SAID ZAMAN</t>
  </si>
  <si>
    <t>G25</t>
  </si>
  <si>
    <t>JAKIR HUSAIN</t>
  </si>
  <si>
    <t>G32</t>
  </si>
  <si>
    <t>RAM KUMAR YADAV</t>
  </si>
  <si>
    <t> G36</t>
  </si>
  <si>
    <t>SUNIL KUMAR</t>
  </si>
  <si>
    <t>G39</t>
  </si>
  <si>
    <t xml:space="preserve">AAitbir Sanba Karna Bahadur Limbu </t>
  </si>
  <si>
    <t>G40</t>
  </si>
  <si>
    <t>SANJAY MAHATO DHAGAD</t>
  </si>
  <si>
    <t>G42</t>
  </si>
  <si>
    <t>Nar Bahadur Limbu</t>
  </si>
  <si>
    <t>G46</t>
  </si>
  <si>
    <t>Amrit Rai</t>
  </si>
  <si>
    <t>G48</t>
  </si>
  <si>
    <t>Dipendra Siwa Darji</t>
  </si>
  <si>
    <t>G54</t>
  </si>
  <si>
    <t>Kuisang sherpa pemba  chhedar sherpa</t>
  </si>
  <si>
    <t>G59</t>
  </si>
  <si>
    <t>Bipat pasman jogi pasman</t>
  </si>
  <si>
    <t>G60</t>
  </si>
  <si>
    <t>Mahindra yadav</t>
  </si>
  <si>
    <t>G67</t>
  </si>
  <si>
    <t>RAJU SUNAR</t>
  </si>
  <si>
    <t>G72</t>
  </si>
  <si>
    <t>SAMBHU CHAMAR</t>
  </si>
  <si>
    <t>G73</t>
  </si>
  <si>
    <t>Kaluram Sada Bhuti Mushar</t>
  </si>
  <si>
    <t>G76</t>
  </si>
  <si>
    <t>Ganga Ram Das</t>
  </si>
  <si>
    <t>G77</t>
  </si>
  <si>
    <t>Laxhmeshvar khatwe Dev</t>
  </si>
  <si>
    <t>G81</t>
  </si>
  <si>
    <t>Bhupnarayan Sah Kanu anup</t>
  </si>
  <si>
    <t>G82</t>
  </si>
  <si>
    <t xml:space="preserve">Sonelal Mukhiya Bin Niramla Devi </t>
  </si>
  <si>
    <t>G89</t>
  </si>
  <si>
    <t>Bishal Oli Padam Bahadur</t>
  </si>
  <si>
    <t>G95</t>
  </si>
  <si>
    <t>Dipendra Yadav Rajendra Yadav</t>
  </si>
  <si>
    <t>G96</t>
  </si>
  <si>
    <t>Govinda Prasad Basnet</t>
  </si>
  <si>
    <t>G97</t>
  </si>
  <si>
    <t>Rajib Kumar Das Jamahir Das</t>
  </si>
  <si>
    <t>G99</t>
  </si>
  <si>
    <t xml:space="preserve">RAM BAHADUR RAUT DUKHIYA </t>
  </si>
  <si>
    <t>C019</t>
  </si>
  <si>
    <t>ABDUL KATHAR</t>
  </si>
  <si>
    <t>HARIDWAR CHAUHAN</t>
  </si>
  <si>
    <t>MD MANSUR ALAM</t>
  </si>
  <si>
    <t>IMRAN MIR KAMAN</t>
  </si>
  <si>
    <t>C108</t>
  </si>
  <si>
    <t>MUHAMMAD KAZIM SHER</t>
  </si>
  <si>
    <t>JAYRAM MUKHRAN</t>
  </si>
  <si>
    <t xml:space="preserve">MUHAMMAD SHAKIR MUHAMMAD </t>
  </si>
  <si>
    <t> G20</t>
  </si>
  <si>
    <t>MANOJ KUMAR YADAV</t>
  </si>
  <si>
    <t>RAM RATTAN CHAUHAN</t>
  </si>
  <si>
    <t>SHELIM OHAB MOLLAH</t>
  </si>
  <si>
    <t>AZEEM KHAN MUHAMMAD BASHIR</t>
  </si>
  <si>
    <t xml:space="preserve">
NON WPS</t>
  </si>
  <si>
    <t> G24</t>
  </si>
  <si>
    <t xml:space="preserve">We provide </t>
  </si>
  <si>
    <t xml:space="preserve">Due </t>
  </si>
  <si>
    <t xml:space="preserve">Exact OT </t>
  </si>
  <si>
    <t>Amount</t>
  </si>
  <si>
    <t>DIPENDRA YADAV RAJENDRA YADAV</t>
  </si>
  <si>
    <t>RAJ KUMAR SADA LAXMAN SADA MUSHAR</t>
  </si>
  <si>
    <t>DHANBIR MANDAL BILTU MANDAL</t>
  </si>
  <si>
    <t>MAHENDRA THAPA GAJE THAPA</t>
  </si>
  <si>
    <t> </t>
  </si>
  <si>
    <t>BAUER - SADIYATH</t>
  </si>
  <si>
    <t>SMART DIMENSION</t>
  </si>
  <si>
    <t>BAUER KIZAD</t>
  </si>
  <si>
    <t>SL</t>
  </si>
  <si>
    <t>NAME</t>
  </si>
  <si>
    <t>SU</t>
  </si>
  <si>
    <t>MO</t>
  </si>
  <si>
    <t>TU</t>
  </si>
  <si>
    <t>WE</t>
  </si>
  <si>
    <t>TH</t>
  </si>
  <si>
    <t>FR</t>
  </si>
  <si>
    <t>SA</t>
  </si>
  <si>
    <t>MUHAMMAD AFZAL MUHAMMAD SHAHBAZ</t>
  </si>
  <si>
    <t>P</t>
  </si>
  <si>
    <t>SANJAY MAHATO DHAGAD BHULAN MAHATO DHAGAD</t>
  </si>
  <si>
    <t>AZIZAR MOHAMMAD ROSHAN</t>
  </si>
  <si>
    <t>JAY RAM MUKHRAN HARIJAN</t>
  </si>
  <si>
    <t>GIRIJESH PARAS NATH GAUTAM</t>
  </si>
  <si>
    <t>RAM LAKHAN RAM PRATAP</t>
  </si>
  <si>
    <t>A</t>
  </si>
  <si>
    <t>DARSHAN AMRIT LAL</t>
  </si>
  <si>
    <t>JANAK YADAV SHIV SHANKAR YADAV</t>
  </si>
  <si>
    <t>MUNAWAR SAEED ANWAR SAID</t>
  </si>
  <si>
    <t>RAFIQUL SHORIF KUBAD SHORIF</t>
  </si>
  <si>
    <t>MAMUN JAYNAL ABEDIN HOWLADER</t>
  </si>
  <si>
    <t>KAMAL UDDIN AFIL UDDIN</t>
  </si>
  <si>
    <t>MUHAMMAD KAMIL ABDUL MALIK</t>
  </si>
  <si>
    <t>MAHINDRA YADAV RAM SEBAK YADAV</t>
  </si>
  <si>
    <t>HORA MONI MOJUMDER ANONTA KUMAR MOJUMDER</t>
  </si>
  <si>
    <t>Bauer - Kizad</t>
  </si>
  <si>
    <t>SHELIM OHAB ALI MOLLAH</t>
  </si>
  <si>
    <t>ABDUL KATHAR SHAHUL HAMEED</t>
  </si>
  <si>
    <t>KUMAR BISHWAKARMA SAHAMAN BISHWAKARMA</t>
  </si>
  <si>
    <t>C</t>
  </si>
  <si>
    <t>RAJU SUNAR KAILA SUNAR</t>
  </si>
  <si>
    <t>MAHARFUL SEKH JANSAD SEIKH</t>
  </si>
  <si>
    <t>MD SORIF MIA MD KALAM MIA</t>
  </si>
  <si>
    <t>MOHAMMAD FARVEZ MANJUR ALAM</t>
  </si>
  <si>
    <t>SHANKAR SINGH RAM ASARE SINGH</t>
  </si>
  <si>
    <t>SUNDAR KUMAR SADAY ANESIYA MUSAHAR</t>
  </si>
  <si>
    <t>TEJ BAHADUR RANA OILI RANA</t>
  </si>
  <si>
    <t>SURESH BISTA BHAGAWATI BISTA</t>
  </si>
  <si>
    <t>SUNDAR RAM SHREE LAL RAM</t>
  </si>
  <si>
    <t>SHREE RAM MANDAL JHAULIYA MANDAL</t>
  </si>
  <si>
    <t>NANU SADA RAM PARIKSHAN MUSAHAR</t>
  </si>
  <si>
    <t>PRAMOD KUMAR MANDAL MUNILAL MANDAL</t>
  </si>
  <si>
    <t>V</t>
  </si>
  <si>
    <t>SHIV CHANDRA YADAV DARPI YADAV</t>
  </si>
  <si>
    <t>SUNIL KUMAR YADAV RAMA TARAIT YADAV</t>
  </si>
  <si>
    <t>MUKESH SADA RAM EKBAL SADA</t>
  </si>
  <si>
    <t>BASU SADA GUNTEN SADA MUSHAR</t>
  </si>
  <si>
    <t>HASAN MAHMUD MD ABDUL HAMEED</t>
  </si>
  <si>
    <t>LAXHMESHVAR KHATWE DEV NARAYAN KHATWE</t>
  </si>
  <si>
    <t>RAM KUMAR YADAV RAGHUNANDAN YADAV</t>
  </si>
  <si>
    <t>NUR ISLAM SEIKH SULTAN SEIKH</t>
  </si>
  <si>
    <t>JAKIR HUSAIN HABIB NADAPH</t>
  </si>
  <si>
    <t>SAMBHU CHAMAR SEEMA CHAMAR</t>
  </si>
  <si>
    <t>LALKU SADA LADDU SADA</t>
  </si>
  <si>
    <t>ABUL KALAM JASIM UDDIN</t>
  </si>
  <si>
    <t>MD KAMAL MIA MD ABDUS SALAM</t>
  </si>
  <si>
    <t>TURAN MIAH ASID MIAH</t>
  </si>
  <si>
    <t>KABIR MD FUL MIAH</t>
  </si>
  <si>
    <t>JAMAL ABDUL RAHMAN</t>
  </si>
  <si>
    <t>RAM RATAN CHAUHAN BAL KISHUN CHAUHAN</t>
  </si>
  <si>
    <t>HABIL MIA JAMALUDDIN</t>
  </si>
  <si>
    <t>DHANIK LAL MAHARA NIRMALA DEVI</t>
  </si>
  <si>
    <t>SUNIL KUMAR MAHARA JIBACHH MAHARA CHAMAR</t>
  </si>
  <si>
    <t>RAM JIBAN YADAV KHEHARU YADAV</t>
  </si>
  <si>
    <t>MD SUMSUL ALOM MD SUKUR ALI</t>
  </si>
  <si>
    <t>MD SHIRAJUL ISLAM HABIBUR HAWLADER</t>
  </si>
  <si>
    <t>NAR BAHADUR LIMBU UTTAR BAHADUR LIMBU</t>
  </si>
  <si>
    <t>MUHAMMAD SHAKIR MUHAMMAD AMIN</t>
  </si>
  <si>
    <t>MD RAIHAN MD MANJO MIAH</t>
  </si>
  <si>
    <t>SONELAL MUKHIYA BIN NIRAMLA DEVI MUKHIYA BIN</t>
  </si>
  <si>
    <t>ABU BAKKAR LATE ABDUL GONU MIAH</t>
  </si>
  <si>
    <t>NAZRUL ABDUL MALIK</t>
  </si>
  <si>
    <t>ABUL BASHER ABDUL MUNAF</t>
  </si>
  <si>
    <t>VACATION</t>
  </si>
  <si>
    <t>MANOJ YADAV RAM ADHAR YADAV</t>
  </si>
  <si>
    <t>HARBHAJAN SINGH SARWAN SINGH</t>
  </si>
  <si>
    <t>DALOWAR HOSSAIN</t>
  </si>
  <si>
    <t>SUN</t>
  </si>
  <si>
    <t>provided</t>
  </si>
  <si>
    <t>Nor</t>
  </si>
  <si>
    <t>NON</t>
  </si>
  <si>
    <t>EXACT</t>
  </si>
  <si>
    <t>Nor &amp; NON WPS</t>
  </si>
  <si>
    <t>Absent</t>
  </si>
  <si>
    <t>Remarks</t>
  </si>
  <si>
    <t>SURESH DAS KATHABANIYA GITA DEVI</t>
  </si>
  <si>
    <t>MD AMAN ULLAH MD SIRAJ UDDIN</t>
  </si>
  <si>
    <t>Full Att entitled</t>
  </si>
  <si>
    <t xml:space="preserve">KUISANG SHERPA PEMBA CHHEDAR </t>
  </si>
  <si>
    <t>PAY SLIP</t>
  </si>
  <si>
    <t>G252</t>
  </si>
  <si>
    <t>BIRENDRA MANDAL</t>
  </si>
  <si>
    <t>G253</t>
  </si>
  <si>
    <t>NARESH THAKUR HAJAM</t>
  </si>
  <si>
    <t>G254</t>
  </si>
  <si>
    <t>ALAUDIN NADAF</t>
  </si>
  <si>
    <t>G255</t>
  </si>
  <si>
    <t>JITENDRA PATEL</t>
  </si>
  <si>
    <t>G256</t>
  </si>
  <si>
    <t>DIPAK PRASAD KURMI</t>
  </si>
  <si>
    <t>FROM</t>
  </si>
  <si>
    <t xml:space="preserve">AMDAD ALI BHUTTO MUHAMMAD </t>
  </si>
  <si>
    <t>i</t>
  </si>
  <si>
    <t>MOHAMMAD JAKIR HOSSAIN</t>
  </si>
  <si>
    <t>Gulf Oasis Manpower Supply LLC</t>
  </si>
  <si>
    <t>Off</t>
  </si>
  <si>
    <t xml:space="preserve">KUISANG SHERPA PEMBA </t>
  </si>
  <si>
    <t>RAJ KUMAR SADA LAXMAN SADA</t>
  </si>
  <si>
    <t>LAXHMESHVAR KHATWE DEV NARAYA</t>
  </si>
  <si>
    <t>G257</t>
  </si>
  <si>
    <t>Craish Yiga</t>
  </si>
  <si>
    <t>G258</t>
  </si>
  <si>
    <t>KOGO BONFACE KIPTOO</t>
  </si>
  <si>
    <t>Other Allowances</t>
  </si>
  <si>
    <t>Advance Salary</t>
  </si>
  <si>
    <t>G259</t>
  </si>
  <si>
    <t>LAMECH MUGEJERA</t>
  </si>
  <si>
    <t>G260</t>
  </si>
  <si>
    <t>CHRISTOPHER TUMWIJUKYE</t>
  </si>
  <si>
    <t>G261</t>
  </si>
  <si>
    <t>PANSON VUMIRIYA</t>
  </si>
  <si>
    <t>G262</t>
  </si>
  <si>
    <t>YUNUS SSAWAMASO NSUBUGA</t>
  </si>
  <si>
    <t>G263</t>
  </si>
  <si>
    <t>Shafic Kyazze</t>
  </si>
  <si>
    <t>G20</t>
  </si>
  <si>
    <t>G36</t>
  </si>
  <si>
    <t>Food Allowance</t>
  </si>
  <si>
    <t>Salary Total</t>
  </si>
  <si>
    <t>Holiday OT</t>
  </si>
  <si>
    <t>Holiday OT Amount</t>
  </si>
  <si>
    <t>Add. For PH</t>
  </si>
  <si>
    <t>Extra Absent</t>
  </si>
  <si>
    <t>G264</t>
  </si>
  <si>
    <t>RANJIT KUMAR YADAV</t>
  </si>
  <si>
    <t>G265</t>
  </si>
  <si>
    <t>HARERAM PANDIT</t>
  </si>
  <si>
    <t>G266</t>
  </si>
  <si>
    <t>KRISHNA RAJ RANA</t>
  </si>
  <si>
    <t>G267</t>
  </si>
  <si>
    <t>PANDIT HAJARA</t>
  </si>
  <si>
    <t>G268</t>
  </si>
  <si>
    <t>Non WPs OT Hours</t>
  </si>
  <si>
    <t>Non WPS OT Salary</t>
  </si>
  <si>
    <t>Holiday OT Hours</t>
  </si>
  <si>
    <t>Addition Incentive</t>
  </si>
  <si>
    <t>ACTUAL SALARY - May</t>
  </si>
  <si>
    <t>Extra Vacation Penalty</t>
  </si>
  <si>
    <t>Exra Vacation Penalty</t>
  </si>
  <si>
    <t>Extra Vaction Penalty</t>
  </si>
  <si>
    <t>Last month OT adjustment</t>
  </si>
  <si>
    <t>ADVANCE SALARY</t>
  </si>
  <si>
    <t>RAHMAN ALI</t>
  </si>
  <si>
    <t>JUNE- SALARY</t>
  </si>
  <si>
    <t>Arjun Thakur</t>
  </si>
  <si>
    <t>Bauer -  Ruwais</t>
  </si>
  <si>
    <t xml:space="preserve">JIHUA ROYAL WING CONT. </t>
  </si>
  <si>
    <t>Bauer A 1269</t>
  </si>
  <si>
    <t>Bauer Sadiyath - A 1267</t>
  </si>
  <si>
    <t>Bauer A 1268</t>
  </si>
  <si>
    <t>Tashareek</t>
  </si>
  <si>
    <t>DARKGLOBE</t>
  </si>
  <si>
    <t>Bauer Yas Island</t>
  </si>
  <si>
    <t>June 2026</t>
  </si>
  <si>
    <t>Bauer - Ruwais</t>
  </si>
  <si>
    <t>Bauer - Ruwais &amp; Under Cancel</t>
  </si>
  <si>
    <t xml:space="preserve">RIYAJUDDEEN ANSARI RAHAMAN </t>
  </si>
  <si>
    <t>Tashareek - Dxb &amp; Bauer Yas Island</t>
  </si>
  <si>
    <t xml:space="preserve">Bauer Kizad  </t>
  </si>
  <si>
    <t>BIPAIT PASMAN JOGI PASMAN</t>
  </si>
  <si>
    <t>Darkglobe</t>
  </si>
  <si>
    <t>Bauer  A 1267</t>
  </si>
  <si>
    <t>VACATION &amp; Bauer A 1267</t>
  </si>
  <si>
    <t xml:space="preserve">MOHAMMAD MANSUR ALAM </t>
  </si>
  <si>
    <t>Bauer A 1271</t>
  </si>
  <si>
    <t xml:space="preserve">HARIDWAR CHAUHAN DEV NATH </t>
  </si>
  <si>
    <t xml:space="preserve"> JIHUA ROYAL &amp; Bauer A 1271</t>
  </si>
  <si>
    <t>Vacation &amp; Bauer A 1271</t>
  </si>
  <si>
    <t>Bauer - Kizad &amp; A 1271</t>
  </si>
  <si>
    <t xml:space="preserve"> Bauer A 1268</t>
  </si>
  <si>
    <t xml:space="preserve"> Bauer A 1268 &amp; Vacation</t>
  </si>
  <si>
    <t>ARJUN SARDAR THARU</t>
  </si>
  <si>
    <t xml:space="preserve"> JIHUA ROYAL WING CONT. </t>
  </si>
  <si>
    <t>Vacation</t>
  </si>
  <si>
    <t>Ram Ratan</t>
  </si>
  <si>
    <t>He was not absent any day. We deduct 1 day as absent + full attnd allow 100 dhs</t>
  </si>
  <si>
    <t xml:space="preserve">June Month Complaints </t>
  </si>
  <si>
    <t>SICK LEAVE DETAILS-June 2026</t>
  </si>
  <si>
    <t xml:space="preserve">TO </t>
  </si>
  <si>
    <t>TOTAL DAYS</t>
  </si>
  <si>
    <t>MUNAWAR SAEED AHMAD SAID</t>
  </si>
  <si>
    <t>1 Day</t>
  </si>
  <si>
    <t>G-199</t>
  </si>
  <si>
    <t xml:space="preserve">HORA MONI MOJUMDER ANONTA </t>
  </si>
  <si>
    <t>G299</t>
  </si>
  <si>
    <t xml:space="preserve">SHREE RAM MANDAL JHAULIYA </t>
  </si>
  <si>
    <t>G-235</t>
  </si>
  <si>
    <t>SUNDAR KUMAR SADAY ANESIYA</t>
  </si>
  <si>
    <t>G-259</t>
  </si>
  <si>
    <t>G-192</t>
  </si>
  <si>
    <t>G-200</t>
  </si>
  <si>
    <t>G-122</t>
  </si>
  <si>
    <t>G 42</t>
  </si>
  <si>
    <t>NAR BAHADUR LIMBU UTTAR BAHADUR</t>
  </si>
  <si>
    <t xml:space="preserve">2 Day </t>
  </si>
  <si>
    <t>G-169</t>
  </si>
  <si>
    <t>G-246</t>
  </si>
  <si>
    <t>G-148</t>
  </si>
  <si>
    <t>SUNIL KUMAR YADAV RAMA TARAIT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</si>
</sst>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.0_-;\-* #,##0.0_-;_-* &quot;-&quot;??_-;_-@_-"/>
  </numFmts>
  <fonts count="8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Calibri Light"/>
      <family val="1"/>
      <scheme val="maj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4"/>
      <color rgb="FF000000"/>
      <name val="Calibri"/>
      <family val="2"/>
    </font>
    <font>
      <b/>
      <sz val="9"/>
      <color indexed="81"/>
      <name val="Tahoma"/>
      <family val="2"/>
    </font>
    <font>
      <b/>
      <sz val="16"/>
      <color theme="1"/>
      <name val="Century Gothic"/>
      <family val="2"/>
    </font>
    <font>
      <b/>
      <sz val="11"/>
      <name val="Calibri"/>
      <family val="2"/>
    </font>
    <font>
      <b/>
      <sz val="11"/>
      <color rgb="FFFFFF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 Light"/>
      <family val="1"/>
    </font>
    <font>
      <b/>
      <sz val="11"/>
      <name val="Calibri Light"/>
      <family val="1"/>
    </font>
    <font>
      <b/>
      <sz val="12"/>
      <name val="Calibri Light"/>
      <family val="1"/>
    </font>
    <font>
      <sz val="12"/>
      <name val="Calibri"/>
      <family val="2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FF00"/>
      <name val="Calibri"/>
      <family val="2"/>
    </font>
    <font>
      <b/>
      <sz val="10"/>
      <color rgb="FF7030A0"/>
      <name val="Calibri"/>
      <family val="2"/>
    </font>
    <font>
      <sz val="12"/>
      <color rgb="FF000000"/>
      <name val="Calibri"/>
      <family val="2"/>
    </font>
    <font>
      <sz val="12"/>
      <color rgb="FF7030A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rgb="FF000000"/>
      <name val="Calibri Light"/>
      <family val="1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</font>
    <font>
      <b/>
      <sz val="14"/>
      <color indexed="81"/>
      <name val="Tahoma"/>
      <family val="2"/>
    </font>
    <font>
      <sz val="10"/>
      <name val="Calibri"/>
      <family val="2"/>
      <scheme val="minor"/>
    </font>
    <font>
      <b/>
      <sz val="11"/>
      <color theme="1"/>
      <name val="Courier New"/>
      <family val="2"/>
    </font>
    <font>
      <sz val="12"/>
      <color theme="3"/>
      <name val="Century Gothic"/>
      <family val="2"/>
    </font>
    <font>
      <sz val="8"/>
      <color theme="1"/>
      <name val="Calibri"/>
      <family val="2"/>
      <scheme val="minor"/>
    </font>
    <font>
      <b/>
      <sz val="8"/>
      <color theme="0"/>
      <name val="Century Gothic"/>
      <family val="2"/>
    </font>
    <font>
      <b/>
      <sz val="10"/>
      <color theme="0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color theme="3"/>
      <name val="Century Gothic"/>
      <family val="2"/>
    </font>
    <font>
      <sz val="12"/>
      <name val="Century Gothic"/>
      <family val="2"/>
    </font>
    <font>
      <sz val="8"/>
      <color theme="0"/>
      <name val="Century Gothic"/>
      <family val="2"/>
    </font>
    <font>
      <sz val="10"/>
      <color theme="3"/>
      <name val="Century Gothic"/>
      <family val="2"/>
    </font>
    <font>
      <sz val="10"/>
      <color rgb="FFFF0000"/>
      <name val="Century Gothic"/>
      <family val="2"/>
    </font>
    <font>
      <b/>
      <sz val="10"/>
      <color theme="3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9"/>
      <color indexed="81"/>
      <name val="Tahoma"/>
      <family val="2"/>
    </font>
    <font>
      <sz val="14"/>
      <color indexed="81"/>
      <name val="Tahoma"/>
      <family val="2"/>
    </font>
    <font>
      <sz val="12"/>
      <color rgb="FFFF0000"/>
      <name val="Century Gothic"/>
      <family val="2"/>
    </font>
    <font>
      <sz val="10"/>
      <color rgb="FFFFFF00"/>
      <name val="Calibri"/>
      <family val="2"/>
    </font>
    <font>
      <b/>
      <sz val="11"/>
      <color theme="2" tint="-0.89999084444715716"/>
      <name val="Calibri"/>
      <family val="2"/>
    </font>
    <font>
      <b/>
      <sz val="14"/>
      <color theme="1"/>
      <name val="Calibri"/>
      <family val="2"/>
    </font>
    <font>
      <sz val="11"/>
      <color theme="2" tint="-0.89999084444715716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2"/>
      <name val="Arial"/>
      <family val="2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B7B7B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A83634"/>
        <bgColor indexed="64"/>
      </patternFill>
    </fill>
    <fill>
      <patternFill patternType="solid">
        <fgColor rgb="FF368E32"/>
        <bgColor indexed="64"/>
      </patternFill>
    </fill>
    <fill>
      <patternFill patternType="solid">
        <fgColor rgb="FF63753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</cellStyleXfs>
  <cellXfs count="327">
    <xf numFmtId="0" fontId="0" fillId="0" borderId="0" xfId="0"/>
    <xf numFmtId="0" fontId="5" fillId="0" borderId="1" xfId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6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/>
    <xf numFmtId="1" fontId="0" fillId="0" borderId="1" xfId="0" applyNumberFormat="1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18" fillId="0" borderId="1" xfId="0" applyFont="1" applyBorder="1"/>
    <xf numFmtId="0" fontId="12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9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165" fontId="9" fillId="0" borderId="1" xfId="1" applyNumberFormat="1" applyFont="1" applyFill="1" applyBorder="1"/>
    <xf numFmtId="1" fontId="0" fillId="0" borderId="1" xfId="0" applyNumberFormat="1" applyBorder="1"/>
    <xf numFmtId="0" fontId="11" fillId="0" borderId="1" xfId="0" applyFont="1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top"/>
    </xf>
    <xf numFmtId="49" fontId="6" fillId="3" borderId="1" xfId="0" applyNumberFormat="1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0" fontId="20" fillId="0" borderId="0" xfId="0" applyFont="1"/>
    <xf numFmtId="49" fontId="6" fillId="3" borderId="1" xfId="0" applyNumberFormat="1" applyFont="1" applyFill="1" applyBorder="1" applyAlignment="1">
      <alignment horizontal="left" vertical="top"/>
    </xf>
    <xf numFmtId="0" fontId="5" fillId="3" borderId="1" xfId="1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top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33" fillId="0" borderId="7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14" fillId="2" borderId="1" xfId="0" applyFont="1" applyFill="1" applyBorder="1"/>
    <xf numFmtId="0" fontId="0" fillId="10" borderId="1" xfId="0" applyFill="1" applyBorder="1" applyAlignment="1">
      <alignment horizontal="center" vertical="center"/>
    </xf>
    <xf numFmtId="0" fontId="0" fillId="2" borderId="1" xfId="0" applyFill="1" applyBorder="1"/>
    <xf numFmtId="1" fontId="4" fillId="0" borderId="1" xfId="0" applyNumberFormat="1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4" fillId="1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4" fillId="10" borderId="1" xfId="0" applyFont="1" applyFill="1" applyBorder="1"/>
    <xf numFmtId="0" fontId="14" fillId="10" borderId="1" xfId="0" applyFont="1" applyFill="1" applyBorder="1" applyAlignment="1">
      <alignment vertical="center"/>
    </xf>
    <xf numFmtId="0" fontId="41" fillId="6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vertical="center"/>
    </xf>
    <xf numFmtId="1" fontId="5" fillId="10" borderId="1" xfId="0" applyNumberFormat="1" applyFont="1" applyFill="1" applyBorder="1" applyAlignment="1">
      <alignment horizontal="center"/>
    </xf>
    <xf numFmtId="0" fontId="14" fillId="10" borderId="2" xfId="0" applyFont="1" applyFill="1" applyBorder="1"/>
    <xf numFmtId="0" fontId="0" fillId="10" borderId="1" xfId="0" applyFill="1" applyBorder="1" applyAlignment="1" applyProtection="1">
      <alignment horizontal="center" wrapText="1"/>
      <protection hidden="1"/>
    </xf>
    <xf numFmtId="0" fontId="0" fillId="10" borderId="1" xfId="0" applyFill="1" applyBorder="1"/>
    <xf numFmtId="0" fontId="45" fillId="0" borderId="0" xfId="0" applyFont="1" applyAlignment="1">
      <alignment horizontal="center"/>
    </xf>
    <xf numFmtId="0" fontId="36" fillId="0" borderId="0" xfId="0" applyFont="1"/>
    <xf numFmtId="0" fontId="46" fillId="0" borderId="0" xfId="0" applyFont="1" applyAlignment="1">
      <alignment horizontal="center"/>
    </xf>
    <xf numFmtId="0" fontId="29" fillId="1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0" fillId="10" borderId="0" xfId="0" applyFill="1"/>
    <xf numFmtId="0" fontId="26" fillId="0" borderId="12" xfId="0" applyFont="1" applyBorder="1" applyAlignment="1">
      <alignment horizontal="center" wrapText="1"/>
    </xf>
    <xf numFmtId="0" fontId="34" fillId="10" borderId="1" xfId="0" applyFont="1" applyFill="1" applyBorder="1" applyAlignment="1">
      <alignment horizontal="center"/>
    </xf>
    <xf numFmtId="0" fontId="31" fillId="0" borderId="13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wrapText="1"/>
    </xf>
    <xf numFmtId="0" fontId="29" fillId="0" borderId="0" xfId="0" applyFont="1"/>
    <xf numFmtId="0" fontId="29" fillId="10" borderId="0" xfId="0" applyFont="1" applyFill="1"/>
    <xf numFmtId="0" fontId="52" fillId="0" borderId="0" xfId="0" applyFont="1" applyAlignment="1">
      <alignment horizontal="center"/>
    </xf>
    <xf numFmtId="0" fontId="0" fillId="2" borderId="0" xfId="0" applyFill="1"/>
    <xf numFmtId="0" fontId="56" fillId="0" borderId="1" xfId="0" applyFont="1" applyBorder="1" applyAlignment="1">
      <alignment horizontal="center" vertical="center"/>
    </xf>
    <xf numFmtId="1" fontId="56" fillId="0" borderId="1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/>
    <xf numFmtId="0" fontId="58" fillId="16" borderId="1" xfId="0" applyFont="1" applyFill="1" applyBorder="1" applyAlignment="1">
      <alignment horizontal="center" vertical="center"/>
    </xf>
    <xf numFmtId="0" fontId="59" fillId="16" borderId="1" xfId="0" applyFont="1" applyFill="1" applyBorder="1" applyAlignment="1">
      <alignment horizontal="center" vertical="center"/>
    </xf>
    <xf numFmtId="0" fontId="60" fillId="16" borderId="1" xfId="0" applyFont="1" applyFill="1" applyBorder="1" applyAlignment="1">
      <alignment horizontal="center" vertical="center" wrapText="1"/>
    </xf>
    <xf numFmtId="0" fontId="61" fillId="16" borderId="1" xfId="0" applyFont="1" applyFill="1" applyBorder="1" applyAlignment="1">
      <alignment horizontal="center" vertical="center"/>
    </xf>
    <xf numFmtId="0" fontId="59" fillId="16" borderId="1" xfId="0" applyFont="1" applyFill="1" applyBorder="1" applyAlignment="1">
      <alignment horizontal="center" vertical="center" wrapText="1"/>
    </xf>
    <xf numFmtId="1" fontId="59" fillId="16" borderId="1" xfId="0" applyNumberFormat="1" applyFont="1" applyFill="1" applyBorder="1" applyAlignment="1">
      <alignment horizontal="center" vertical="center" wrapText="1"/>
    </xf>
    <xf numFmtId="0" fontId="61" fillId="16" borderId="1" xfId="0" applyFont="1" applyFill="1" applyBorder="1" applyAlignment="1">
      <alignment horizontal="center" vertical="center" wrapText="1"/>
    </xf>
    <xf numFmtId="0" fontId="60" fillId="16" borderId="15" xfId="0" applyFont="1" applyFill="1" applyBorder="1" applyAlignment="1">
      <alignment horizontal="center" vertical="center" wrapText="1"/>
    </xf>
    <xf numFmtId="165" fontId="62" fillId="16" borderId="1" xfId="1" applyNumberFormat="1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1" fontId="56" fillId="0" borderId="4" xfId="0" applyNumberFormat="1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49" fontId="56" fillId="0" borderId="1" xfId="0" applyNumberFormat="1" applyFont="1" applyBorder="1" applyAlignment="1">
      <alignment horizontal="left" vertical="top"/>
    </xf>
    <xf numFmtId="0" fontId="65" fillId="16" borderId="1" xfId="0" applyFont="1" applyFill="1" applyBorder="1" applyAlignment="1">
      <alignment horizontal="center"/>
    </xf>
    <xf numFmtId="0" fontId="61" fillId="16" borderId="1" xfId="0" applyFont="1" applyFill="1" applyBorder="1" applyAlignment="1">
      <alignment horizontal="justify" vertical="center"/>
    </xf>
    <xf numFmtId="1" fontId="56" fillId="17" borderId="4" xfId="0" applyNumberFormat="1" applyFont="1" applyFill="1" applyBorder="1" applyAlignment="1">
      <alignment horizontal="center" vertical="center"/>
    </xf>
    <xf numFmtId="1" fontId="64" fillId="17" borderId="4" xfId="0" applyNumberFormat="1" applyFont="1" applyFill="1" applyBorder="1" applyAlignment="1">
      <alignment horizontal="center" vertical="center"/>
    </xf>
    <xf numFmtId="166" fontId="62" fillId="16" borderId="1" xfId="1" applyNumberFormat="1" applyFont="1" applyFill="1" applyBorder="1" applyAlignment="1">
      <alignment horizontal="center" vertical="center"/>
    </xf>
    <xf numFmtId="1" fontId="4" fillId="17" borderId="1" xfId="0" applyNumberFormat="1" applyFont="1" applyFill="1" applyBorder="1" applyAlignment="1">
      <alignment horizontal="center"/>
    </xf>
    <xf numFmtId="2" fontId="4" fillId="17" borderId="1" xfId="0" applyNumberFormat="1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1" fontId="4" fillId="15" borderId="1" xfId="0" applyNumberFormat="1" applyFont="1" applyFill="1" applyBorder="1" applyAlignment="1">
      <alignment horizontal="center"/>
    </xf>
    <xf numFmtId="1" fontId="4" fillId="18" borderId="1" xfId="0" applyNumberFormat="1" applyFont="1" applyFill="1" applyBorder="1" applyAlignment="1">
      <alignment horizontal="center"/>
    </xf>
    <xf numFmtId="0" fontId="66" fillId="0" borderId="4" xfId="0" applyFont="1" applyBorder="1" applyAlignment="1">
      <alignment horizontal="center" vertical="center"/>
    </xf>
    <xf numFmtId="49" fontId="66" fillId="0" borderId="4" xfId="0" applyNumberFormat="1" applyFont="1" applyBorder="1" applyAlignment="1">
      <alignment horizontal="left" vertical="top"/>
    </xf>
    <xf numFmtId="0" fontId="66" fillId="0" borderId="1" xfId="0" applyFont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 vertical="center"/>
    </xf>
    <xf numFmtId="1" fontId="66" fillId="0" borderId="4" xfId="0" applyNumberFormat="1" applyFont="1" applyBorder="1" applyAlignment="1">
      <alignment horizontal="center" vertical="center"/>
    </xf>
    <xf numFmtId="1" fontId="66" fillId="17" borderId="4" xfId="0" applyNumberFormat="1" applyFont="1" applyFill="1" applyBorder="1" applyAlignment="1">
      <alignment horizontal="center" vertical="center"/>
    </xf>
    <xf numFmtId="0" fontId="67" fillId="0" borderId="4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 wrapText="1"/>
    </xf>
    <xf numFmtId="1" fontId="69" fillId="17" borderId="4" xfId="0" applyNumberFormat="1" applyFont="1" applyFill="1" applyBorder="1" applyAlignment="1">
      <alignment horizontal="center" vertical="center"/>
    </xf>
    <xf numFmtId="0" fontId="66" fillId="0" borderId="4" xfId="0" applyFont="1" applyBorder="1" applyAlignment="1">
      <alignment horizontal="left" vertical="center"/>
    </xf>
    <xf numFmtId="0" fontId="66" fillId="0" borderId="1" xfId="0" applyFont="1" applyBorder="1" applyAlignment="1">
      <alignment vertical="center"/>
    </xf>
    <xf numFmtId="1" fontId="66" fillId="2" borderId="4" xfId="0" applyNumberFormat="1" applyFont="1" applyFill="1" applyBorder="1" applyAlignment="1">
      <alignment horizontal="center" vertical="center"/>
    </xf>
    <xf numFmtId="0" fontId="66" fillId="0" borderId="1" xfId="0" applyFont="1" applyBorder="1"/>
    <xf numFmtId="0" fontId="67" fillId="2" borderId="4" xfId="0" applyFont="1" applyFill="1" applyBorder="1" applyAlignment="1">
      <alignment horizontal="center" vertical="center"/>
    </xf>
    <xf numFmtId="0" fontId="66" fillId="2" borderId="4" xfId="0" applyFont="1" applyFill="1" applyBorder="1" applyAlignment="1">
      <alignment horizontal="center" vertical="center"/>
    </xf>
    <xf numFmtId="49" fontId="66" fillId="0" borderId="1" xfId="0" applyNumberFormat="1" applyFont="1" applyBorder="1" applyAlignment="1">
      <alignment horizontal="center" vertical="top"/>
    </xf>
    <xf numFmtId="0" fontId="70" fillId="0" borderId="1" xfId="0" applyFont="1" applyBorder="1" applyAlignment="1">
      <alignment horizontal="center" vertical="center" wrapText="1"/>
    </xf>
    <xf numFmtId="0" fontId="66" fillId="2" borderId="1" xfId="0" applyFont="1" applyFill="1" applyBorder="1" applyAlignment="1">
      <alignment horizontal="center" vertical="center"/>
    </xf>
    <xf numFmtId="0" fontId="67" fillId="10" borderId="4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165" fontId="68" fillId="0" borderId="1" xfId="1" applyNumberFormat="1" applyFont="1" applyFill="1" applyBorder="1"/>
    <xf numFmtId="49" fontId="66" fillId="0" borderId="5" xfId="0" applyNumberFormat="1" applyFont="1" applyBorder="1" applyAlignment="1">
      <alignment horizontal="center" vertical="top"/>
    </xf>
    <xf numFmtId="0" fontId="66" fillId="0" borderId="1" xfId="0" applyFont="1" applyBorder="1" applyAlignment="1">
      <alignment horizontal="left" vertical="center"/>
    </xf>
    <xf numFmtId="0" fontId="66" fillId="0" borderId="1" xfId="0" applyFont="1" applyBorder="1" applyAlignment="1">
      <alignment vertical="top"/>
    </xf>
    <xf numFmtId="49" fontId="66" fillId="0" borderId="1" xfId="0" applyNumberFormat="1" applyFont="1" applyBorder="1" applyAlignment="1">
      <alignment horizontal="left" vertical="top"/>
    </xf>
    <xf numFmtId="0" fontId="66" fillId="0" borderId="0" xfId="0" applyFont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6" fillId="10" borderId="1" xfId="0" applyFont="1" applyFill="1" applyBorder="1" applyAlignment="1">
      <alignment horizontal="left" vertical="center"/>
    </xf>
    <xf numFmtId="0" fontId="73" fillId="0" borderId="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3" fillId="0" borderId="2" xfId="0" applyFont="1" applyBorder="1"/>
    <xf numFmtId="0" fontId="23" fillId="5" borderId="9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center" vertical="center" wrapText="1"/>
    </xf>
    <xf numFmtId="0" fontId="23" fillId="0" borderId="7" xfId="0" applyFont="1" applyBorder="1"/>
    <xf numFmtId="0" fontId="23" fillId="19" borderId="8" xfId="0" applyFont="1" applyFill="1" applyBorder="1" applyAlignment="1">
      <alignment horizontal="center" vertical="center" wrapText="1"/>
    </xf>
    <xf numFmtId="0" fontId="74" fillId="20" borderId="17" xfId="0" applyFont="1" applyFill="1" applyBorder="1" applyAlignment="1">
      <alignment horizontal="center" vertical="center"/>
    </xf>
    <xf numFmtId="0" fontId="74" fillId="20" borderId="0" xfId="0" applyFont="1" applyFill="1" applyAlignment="1">
      <alignment horizontal="center" vertical="center"/>
    </xf>
    <xf numFmtId="0" fontId="44" fillId="21" borderId="0" xfId="0" applyFont="1" applyFill="1" applyAlignment="1">
      <alignment horizontal="center" vertical="center"/>
    </xf>
    <xf numFmtId="0" fontId="44" fillId="21" borderId="12" xfId="0" applyFont="1" applyFill="1" applyBorder="1" applyAlignment="1">
      <alignment horizontal="center" vertical="center"/>
    </xf>
    <xf numFmtId="0" fontId="44" fillId="12" borderId="16" xfId="0" applyFont="1" applyFill="1" applyBorder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44" fillId="12" borderId="18" xfId="0" applyFont="1" applyFill="1" applyBorder="1" applyAlignment="1">
      <alignment horizontal="center" vertical="center"/>
    </xf>
    <xf numFmtId="0" fontId="75" fillId="22" borderId="17" xfId="0" applyFont="1" applyFill="1" applyBorder="1" applyAlignment="1">
      <alignment horizontal="center" vertical="center" wrapText="1"/>
    </xf>
    <xf numFmtId="0" fontId="75" fillId="22" borderId="0" xfId="0" applyFont="1" applyFill="1" applyAlignment="1">
      <alignment horizontal="center" vertical="center" wrapText="1"/>
    </xf>
    <xf numFmtId="0" fontId="75" fillId="22" borderId="12" xfId="0" applyFont="1" applyFill="1" applyBorder="1" applyAlignment="1">
      <alignment horizontal="center" vertical="center" wrapText="1"/>
    </xf>
    <xf numFmtId="0" fontId="75" fillId="10" borderId="17" xfId="0" applyFont="1" applyFill="1" applyBorder="1" applyAlignment="1">
      <alignment horizontal="center" vertical="center" wrapText="1"/>
    </xf>
    <xf numFmtId="0" fontId="75" fillId="10" borderId="0" xfId="0" applyFont="1" applyFill="1" applyAlignment="1">
      <alignment horizontal="center" vertical="center" wrapText="1"/>
    </xf>
    <xf numFmtId="0" fontId="75" fillId="10" borderId="12" xfId="0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wrapText="1"/>
    </xf>
    <xf numFmtId="0" fontId="26" fillId="0" borderId="10" xfId="0" applyFont="1" applyBorder="1" applyAlignment="1">
      <alignment wrapText="1"/>
    </xf>
    <xf numFmtId="0" fontId="23" fillId="19" borderId="20" xfId="0" applyFont="1" applyFill="1" applyBorder="1" applyAlignment="1">
      <alignment horizontal="center" vertical="center" wrapText="1"/>
    </xf>
    <xf numFmtId="0" fontId="44" fillId="21" borderId="3" xfId="0" applyFont="1" applyFill="1" applyBorder="1" applyAlignment="1">
      <alignment horizontal="center" vertical="center"/>
    </xf>
    <xf numFmtId="0" fontId="44" fillId="21" borderId="11" xfId="0" applyFont="1" applyFill="1" applyBorder="1" applyAlignment="1">
      <alignment horizontal="center" vertical="center"/>
    </xf>
    <xf numFmtId="0" fontId="44" fillId="12" borderId="14" xfId="0" applyFont="1" applyFill="1" applyBorder="1" applyAlignment="1">
      <alignment horizontal="center" vertical="center"/>
    </xf>
    <xf numFmtId="0" fontId="44" fillId="12" borderId="3" xfId="0" applyFont="1" applyFill="1" applyBorder="1" applyAlignment="1">
      <alignment horizontal="center" vertical="center"/>
    </xf>
    <xf numFmtId="0" fontId="44" fillId="12" borderId="21" xfId="0" applyFont="1" applyFill="1" applyBorder="1" applyAlignment="1">
      <alignment horizontal="center" vertical="center"/>
    </xf>
    <xf numFmtId="0" fontId="75" fillId="22" borderId="22" xfId="0" applyFont="1" applyFill="1" applyBorder="1" applyAlignment="1">
      <alignment horizontal="center" vertical="center" wrapText="1"/>
    </xf>
    <xf numFmtId="0" fontId="75" fillId="22" borderId="3" xfId="0" applyFont="1" applyFill="1" applyBorder="1" applyAlignment="1">
      <alignment horizontal="center" vertical="center" wrapText="1"/>
    </xf>
    <xf numFmtId="0" fontId="75" fillId="22" borderId="11" xfId="0" applyFont="1" applyFill="1" applyBorder="1" applyAlignment="1">
      <alignment horizontal="center" vertical="center" wrapText="1"/>
    </xf>
    <xf numFmtId="0" fontId="75" fillId="10" borderId="22" xfId="0" applyFont="1" applyFill="1" applyBorder="1" applyAlignment="1">
      <alignment horizontal="center" vertical="center" wrapText="1"/>
    </xf>
    <xf numFmtId="0" fontId="75" fillId="10" borderId="3" xfId="0" applyFont="1" applyFill="1" applyBorder="1" applyAlignment="1">
      <alignment horizontal="center" vertical="center" wrapText="1"/>
    </xf>
    <xf numFmtId="0" fontId="75" fillId="10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8" fillId="16" borderId="7" xfId="0" applyFont="1" applyFill="1" applyBorder="1" applyAlignment="1">
      <alignment horizontal="center" vertical="center" wrapText="1"/>
    </xf>
    <xf numFmtId="0" fontId="38" fillId="16" borderId="6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center" vertical="center" wrapText="1"/>
    </xf>
    <xf numFmtId="0" fontId="39" fillId="6" borderId="4" xfId="0" applyFont="1" applyFill="1" applyBorder="1" applyAlignment="1">
      <alignment horizontal="center" wrapText="1"/>
    </xf>
    <xf numFmtId="0" fontId="28" fillId="0" borderId="0" xfId="0" applyFont="1" applyAlignment="1">
      <alignment wrapText="1"/>
    </xf>
    <xf numFmtId="0" fontId="40" fillId="7" borderId="4" xfId="0" applyFont="1" applyFill="1" applyBorder="1" applyAlignment="1">
      <alignment horizontal="center" vertical="center"/>
    </xf>
    <xf numFmtId="0" fontId="76" fillId="23" borderId="3" xfId="0" applyFont="1" applyFill="1" applyBorder="1" applyAlignment="1">
      <alignment horizontal="center" vertical="center" wrapText="1"/>
    </xf>
    <xf numFmtId="0" fontId="76" fillId="23" borderId="7" xfId="0" applyFont="1" applyFill="1" applyBorder="1" applyAlignment="1">
      <alignment horizontal="center" vertical="center" wrapText="1"/>
    </xf>
    <xf numFmtId="0" fontId="75" fillId="10" borderId="3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wrapText="1"/>
    </xf>
    <xf numFmtId="0" fontId="29" fillId="0" borderId="1" xfId="0" applyFont="1" applyBorder="1" applyAlignment="1">
      <alignment horizontal="center"/>
    </xf>
    <xf numFmtId="17" fontId="43" fillId="10" borderId="1" xfId="0" quotePrefix="1" applyNumberFormat="1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1" fontId="54" fillId="10" borderId="1" xfId="0" applyNumberFormat="1" applyFont="1" applyFill="1" applyBorder="1" applyAlignment="1">
      <alignment horizontal="center"/>
    </xf>
    <xf numFmtId="1" fontId="2" fillId="7" borderId="1" xfId="0" applyNumberFormat="1" applyFont="1" applyFill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3" fillId="19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23" fillId="19" borderId="5" xfId="0" applyFont="1" applyFill="1" applyBorder="1" applyAlignment="1">
      <alignment horizontal="center" wrapText="1"/>
    </xf>
    <xf numFmtId="0" fontId="77" fillId="23" borderId="8" xfId="0" applyFont="1" applyFill="1" applyBorder="1" applyAlignment="1">
      <alignment horizontal="center" vertical="center" wrapText="1"/>
    </xf>
    <xf numFmtId="0" fontId="29" fillId="10" borderId="4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7" fillId="10" borderId="8" xfId="0" applyFont="1" applyFill="1" applyBorder="1" applyAlignment="1">
      <alignment horizontal="center" vertical="center" wrapText="1"/>
    </xf>
    <xf numFmtId="0" fontId="44" fillId="10" borderId="8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/>
    </xf>
    <xf numFmtId="0" fontId="14" fillId="10" borderId="5" xfId="0" applyFont="1" applyFill="1" applyBorder="1"/>
    <xf numFmtId="0" fontId="74" fillId="24" borderId="11" xfId="0" applyFont="1" applyFill="1" applyBorder="1" applyAlignment="1">
      <alignment horizontal="center" wrapText="1"/>
    </xf>
    <xf numFmtId="0" fontId="44" fillId="10" borderId="11" xfId="0" applyFont="1" applyFill="1" applyBorder="1" applyAlignment="1">
      <alignment horizontal="center" wrapText="1"/>
    </xf>
    <xf numFmtId="0" fontId="29" fillId="8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78" fillId="4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/>
    </xf>
    <xf numFmtId="0" fontId="14" fillId="10" borderId="8" xfId="0" applyFont="1" applyFill="1" applyBorder="1"/>
    <xf numFmtId="0" fontId="0" fillId="0" borderId="8" xfId="0" applyBorder="1"/>
    <xf numFmtId="0" fontId="0" fillId="10" borderId="1" xfId="0" applyFill="1" applyBorder="1" applyAlignment="1" applyProtection="1">
      <alignment horizontal="center" vertical="center" wrapText="1"/>
      <protection hidden="1"/>
    </xf>
    <xf numFmtId="0" fontId="80" fillId="10" borderId="1" xfId="0" applyFont="1" applyFill="1" applyBorder="1" applyAlignment="1">
      <alignment vertical="center"/>
    </xf>
    <xf numFmtId="0" fontId="15" fillId="10" borderId="4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top"/>
    </xf>
    <xf numFmtId="0" fontId="81" fillId="11" borderId="4" xfId="0" applyFont="1" applyFill="1" applyBorder="1"/>
    <xf numFmtId="0" fontId="47" fillId="0" borderId="1" xfId="0" applyFont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4" fillId="25" borderId="1" xfId="0" applyFont="1" applyFill="1" applyBorder="1"/>
    <xf numFmtId="0" fontId="78" fillId="26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vertical="center"/>
    </xf>
    <xf numFmtId="0" fontId="82" fillId="10" borderId="1" xfId="0" applyFont="1" applyFill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/>
    </xf>
    <xf numFmtId="0" fontId="19" fillId="25" borderId="4" xfId="0" applyFont="1" applyFill="1" applyBorder="1"/>
    <xf numFmtId="0" fontId="50" fillId="10" borderId="1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/>
    </xf>
    <xf numFmtId="0" fontId="23" fillId="10" borderId="11" xfId="0" applyFont="1" applyFill="1" applyBorder="1" applyAlignment="1">
      <alignment horizontal="center"/>
    </xf>
    <xf numFmtId="0" fontId="82" fillId="2" borderId="1" xfId="0" applyFont="1" applyFill="1" applyBorder="1" applyAlignment="1">
      <alignment horizontal="center" vertical="center" wrapText="1"/>
    </xf>
    <xf numFmtId="0" fontId="83" fillId="0" borderId="1" xfId="0" applyFont="1" applyBorder="1" applyAlignment="1">
      <alignment horizontal="center" wrapText="1"/>
    </xf>
    <xf numFmtId="0" fontId="78" fillId="10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36" fillId="10" borderId="1" xfId="0" applyFont="1" applyFill="1" applyBorder="1" applyAlignment="1" applyProtection="1">
      <alignment horizontal="center" vertical="center" wrapText="1"/>
      <protection hidden="1"/>
    </xf>
    <xf numFmtId="0" fontId="36" fillId="2" borderId="1" xfId="0" applyFont="1" applyFill="1" applyBorder="1" applyAlignment="1">
      <alignment vertical="center"/>
    </xf>
    <xf numFmtId="0" fontId="28" fillId="2" borderId="1" xfId="0" applyFont="1" applyFill="1" applyBorder="1" applyAlignment="1">
      <alignment horizontal="center" vertical="center"/>
    </xf>
    <xf numFmtId="0" fontId="24" fillId="20" borderId="1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wrapText="1"/>
    </xf>
    <xf numFmtId="0" fontId="44" fillId="22" borderId="11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25" borderId="8" xfId="0" applyFont="1" applyFill="1" applyBorder="1"/>
    <xf numFmtId="0" fontId="5" fillId="0" borderId="8" xfId="0" applyFont="1" applyBorder="1"/>
    <xf numFmtId="0" fontId="44" fillId="10" borderId="11" xfId="0" applyFont="1" applyFill="1" applyBorder="1" applyAlignment="1">
      <alignment horizontal="center"/>
    </xf>
    <xf numFmtId="0" fontId="44" fillId="21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top"/>
    </xf>
    <xf numFmtId="0" fontId="81" fillId="14" borderId="4" xfId="0" applyFont="1" applyFill="1" applyBorder="1"/>
    <xf numFmtId="0" fontId="81" fillId="14" borderId="1" xfId="0" applyFont="1" applyFill="1" applyBorder="1"/>
    <xf numFmtId="0" fontId="85" fillId="25" borderId="1" xfId="0" applyFont="1" applyFill="1" applyBorder="1" applyAlignment="1">
      <alignment vertical="center"/>
    </xf>
    <xf numFmtId="0" fontId="35" fillId="2" borderId="1" xfId="0" applyFont="1" applyFill="1" applyBorder="1" applyAlignment="1">
      <alignment horizontal="center"/>
    </xf>
    <xf numFmtId="0" fontId="24" fillId="10" borderId="1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23" fillId="10" borderId="11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vertical="center"/>
    </xf>
    <xf numFmtId="0" fontId="36" fillId="10" borderId="0" xfId="0" applyFont="1" applyFill="1" applyAlignment="1">
      <alignment vertical="center"/>
    </xf>
    <xf numFmtId="0" fontId="51" fillId="9" borderId="11" xfId="0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wrapText="1"/>
      <protection hidden="1"/>
    </xf>
    <xf numFmtId="0" fontId="29" fillId="10" borderId="4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/>
    </xf>
    <xf numFmtId="0" fontId="44" fillId="10" borderId="4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wrapText="1"/>
    </xf>
    <xf numFmtId="0" fontId="48" fillId="0" borderId="1" xfId="0" applyFont="1" applyBorder="1" applyAlignment="1">
      <alignment horizontal="center" wrapText="1"/>
    </xf>
    <xf numFmtId="0" fontId="29" fillId="0" borderId="0" xfId="0" applyFont="1" applyAlignment="1">
      <alignment horizontal="center"/>
    </xf>
    <xf numFmtId="0" fontId="4" fillId="27" borderId="1" xfId="0" applyFont="1" applyFill="1" applyBorder="1" applyAlignment="1">
      <alignment horizontal="center"/>
    </xf>
    <xf numFmtId="0" fontId="4" fillId="27" borderId="1" xfId="0" applyFont="1" applyFill="1" applyBorder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top"/>
    </xf>
    <xf numFmtId="0" fontId="0" fillId="10" borderId="0" xfId="0" applyFill="1" applyAlignment="1">
      <alignment horizontal="left"/>
    </xf>
    <xf numFmtId="0" fontId="55" fillId="10" borderId="0" xfId="0" applyFont="1" applyFill="1" applyAlignment="1">
      <alignment horizontal="center"/>
    </xf>
  </cellXfs>
  <cellStyles count="4">
    <cellStyle name="Comma" xfId="1" builtinId="3"/>
    <cellStyle name="Comma 2" xfId="2" xr:uid="{7B83929F-668F-46D6-9476-FFBEC3132FA3}"/>
    <cellStyle name="Normal" xfId="0" builtinId="0"/>
    <cellStyle name="Normal 2" xfId="3" xr:uid="{63478E58-A9CA-40D6-B812-466049E48DBA}"/>
  </cellStyles>
  <dxfs count="4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1152525</xdr:colOff>
      <xdr:row>0</xdr:row>
      <xdr:rowOff>9525</xdr:rowOff>
    </xdr:from>
    <xdr:to>
      <xdr:col>2</xdr:col>
      <xdr:colOff>1313996</xdr:colOff>
      <xdr:row>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D9AE6-DB42-4C3D-8D8B-3B8C7284E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9525"/>
          <a:ext cx="1771196" cy="1031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eception/Documents/Tracker/New%20Workers%20ATM%20Tracker.xlsx" TargetMode="External"/><Relationship Id="rId1" Type="http://schemas.openxmlformats.org/officeDocument/2006/relationships/externalLinkPath" Target="/Users/Reception/Documents/Tracker/New%20Workers%20ATM%20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Acc2/Downloads/SalaryReportMonthWise%20(7).xlsx" TargetMode="External"/><Relationship Id="rId2" Type="http://schemas.openxmlformats.org/officeDocument/2006/relationships/externalLinkPath" Target="file:///C:\Users\Acc2\Downloads\SalaryReportMonthWise%20(7).xlsx" TargetMode="External"/><Relationship Id="rId1" Type="http://schemas.openxmlformats.org/officeDocument/2006/relationships/externalLinkPath" Target="/Users/Acc2/Downloads/SalaryReportMonthWise%20(7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Acc2/AppData/Local/Microsoft/Windows/INetCache/Content.Outlook/VGPSSCT7/MONTHLY%20REPORT%20-%20JULY%202024.xlsx" TargetMode="External"/><Relationship Id="rId2" Type="http://schemas.openxmlformats.org/officeDocument/2006/relationships/externalLinkPath" Target="file:///C:\Users\Acc2\AppData\Local\Microsoft\Windows\INetCache\Content.Outlook\VGPSSCT7\MONTHLY%20REPORT%20-%20JULY%202024.xlsx" TargetMode="External"/><Relationship Id="rId1" Type="http://schemas.openxmlformats.org/officeDocument/2006/relationships/externalLinkPath" Target="/Users/Acc2/AppData/Local/Microsoft/Windows/INetCache/Content.Outlook/VGPSSCT7/MONTHLY%20REPORT%20-%20JUL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me Contents Inventory List"/>
      <sheetName val="Room Lookup"/>
      <sheetName val="New Workers ATM Tracker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>
        <row r="4">
          <cell r="B4" t="str">
            <v>G251</v>
          </cell>
          <cell r="C4" t="str">
            <v>FARMAN ULLAH  BAKHT BILAND</v>
          </cell>
          <cell r="D4" t="str">
            <v>20001018452061</v>
          </cell>
          <cell r="E4" t="str">
            <v>0000000562626</v>
          </cell>
          <cell r="F4" t="str">
            <v>00000000945015861017229</v>
          </cell>
          <cell r="G4" t="str">
            <v>C3Pay</v>
          </cell>
          <cell r="H4" t="str">
            <v>WPS</v>
          </cell>
          <cell r="I4" t="str">
            <v>24/06/2024</v>
          </cell>
          <cell r="J4">
            <v>1400</v>
          </cell>
        </row>
        <row r="5">
          <cell r="B5" t="str">
            <v>1009</v>
          </cell>
          <cell r="C5" t="str">
            <v>HABIL  MIA JAMALIDDIN</v>
          </cell>
          <cell r="D5" t="str">
            <v>30120078815670</v>
          </cell>
          <cell r="E5" t="str">
            <v>0000000562626</v>
          </cell>
          <cell r="F5" t="str">
            <v>00000000945010500141668</v>
          </cell>
          <cell r="G5" t="str">
            <v>C3Pay</v>
          </cell>
          <cell r="H5" t="str">
            <v>WPS</v>
          </cell>
          <cell r="I5" t="str">
            <v>13/06/2024</v>
          </cell>
          <cell r="J5">
            <v>900</v>
          </cell>
        </row>
        <row r="6">
          <cell r="B6" t="str">
            <v>1012</v>
          </cell>
          <cell r="C6" t="str">
            <v>JAFAR  UDDIN KADAM ALI</v>
          </cell>
          <cell r="D6" t="str">
            <v>30101018573498</v>
          </cell>
          <cell r="E6" t="str">
            <v>0000000562626</v>
          </cell>
          <cell r="F6" t="str">
            <v>00000000945010500141669</v>
          </cell>
          <cell r="G6" t="str">
            <v>C3Pay</v>
          </cell>
          <cell r="H6" t="str">
            <v>WPS</v>
          </cell>
          <cell r="I6" t="str">
            <v>13/06/2024</v>
          </cell>
          <cell r="J6">
            <v>900</v>
          </cell>
        </row>
        <row r="7">
          <cell r="B7" t="str">
            <v>1015</v>
          </cell>
          <cell r="C7" t="str">
            <v>HARBHAJAN  SINGH</v>
          </cell>
          <cell r="D7" t="str">
            <v>10015026917204</v>
          </cell>
          <cell r="E7" t="str">
            <v>0000000562626</v>
          </cell>
          <cell r="F7" t="str">
            <v>00000000915013562102842</v>
          </cell>
          <cell r="G7" t="str">
            <v>C3Pay</v>
          </cell>
          <cell r="H7" t="str">
            <v>WPS</v>
          </cell>
          <cell r="I7" t="str">
            <v>13/06/2024</v>
          </cell>
          <cell r="J7">
            <v>900</v>
          </cell>
        </row>
        <row r="8">
          <cell r="B8" t="str">
            <v>1034</v>
          </cell>
          <cell r="C8" t="str">
            <v>RAFIQUL  SHORIF</v>
          </cell>
          <cell r="D8" t="str">
            <v>30102058015696</v>
          </cell>
          <cell r="E8" t="str">
            <v>0000000562626</v>
          </cell>
          <cell r="F8" t="str">
            <v>00000000915010502102843</v>
          </cell>
          <cell r="G8" t="str">
            <v>C3Pay</v>
          </cell>
          <cell r="H8" t="str">
            <v>WPS</v>
          </cell>
          <cell r="I8" t="str">
            <v>13/06/2024</v>
          </cell>
          <cell r="J8">
            <v>900</v>
          </cell>
        </row>
        <row r="9">
          <cell r="B9" t="str">
            <v>189</v>
          </cell>
          <cell r="C9" t="str">
            <v>KAMAL  ABDUR REHMAN</v>
          </cell>
          <cell r="D9" t="str">
            <v>30101017385850</v>
          </cell>
          <cell r="E9" t="str">
            <v>0000000562626</v>
          </cell>
          <cell r="F9" t="str">
            <v>00000000915010502102815</v>
          </cell>
          <cell r="G9" t="str">
            <v>C3Pay</v>
          </cell>
          <cell r="H9" t="str">
            <v>WPS</v>
          </cell>
          <cell r="I9" t="str">
            <v>13/06/2024</v>
          </cell>
          <cell r="J9">
            <v>800</v>
          </cell>
        </row>
        <row r="10">
          <cell r="B10" t="str">
            <v>1055</v>
          </cell>
          <cell r="C10" t="str">
            <v>KAMALUDDIN  AFILUDDIN</v>
          </cell>
          <cell r="D10" t="str">
            <v>30110108103145</v>
          </cell>
          <cell r="E10" t="str">
            <v>0000000562626</v>
          </cell>
          <cell r="F10" t="str">
            <v>00000000945010500141673</v>
          </cell>
          <cell r="G10" t="str">
            <v>C3Pay</v>
          </cell>
          <cell r="H10" t="str">
            <v>WPS</v>
          </cell>
          <cell r="I10" t="str">
            <v>13/06/2024</v>
          </cell>
          <cell r="J10">
            <v>900</v>
          </cell>
        </row>
        <row r="11">
          <cell r="B11" t="str">
            <v>245</v>
          </cell>
          <cell r="C11" t="str">
            <v>ABU BAKKAR  LATE ABDUL GONU MIAH</v>
          </cell>
          <cell r="D11" t="str">
            <v>30115068845431</v>
          </cell>
          <cell r="E11" t="str">
            <v>0000000562626</v>
          </cell>
          <cell r="F11" t="str">
            <v>00000000945010500188300</v>
          </cell>
          <cell r="G11" t="str">
            <v>C3Pay</v>
          </cell>
          <cell r="H11" t="str">
            <v>WPS</v>
          </cell>
          <cell r="I11" t="str">
            <v>13/06/2024</v>
          </cell>
          <cell r="J11">
            <v>800</v>
          </cell>
        </row>
        <row r="12">
          <cell r="B12" t="str">
            <v>250</v>
          </cell>
          <cell r="C12" t="str">
            <v>JAKIR  HOSSAIN SIRAJ UDDOULA</v>
          </cell>
          <cell r="D12" t="str">
            <v>30121088324437</v>
          </cell>
          <cell r="E12" t="str">
            <v>0000000562626</v>
          </cell>
          <cell r="F12" t="str">
            <v>00000000915010502102800</v>
          </cell>
          <cell r="G12" t="str">
            <v>C3Pay</v>
          </cell>
          <cell r="H12" t="str">
            <v>WPS</v>
          </cell>
          <cell r="I12" t="str">
            <v>13/06/2024</v>
          </cell>
          <cell r="J12">
            <v>800</v>
          </cell>
        </row>
        <row r="13">
          <cell r="B13" t="str">
            <v>412</v>
          </cell>
          <cell r="C13" t="str">
            <v>DEBU  BAIRAGI BAIRAGI DHIREN</v>
          </cell>
          <cell r="D13" t="str">
            <v>10003037114062</v>
          </cell>
          <cell r="E13" t="str">
            <v>0000000562626</v>
          </cell>
          <cell r="F13" t="str">
            <v>00000000915013562102801</v>
          </cell>
          <cell r="G13" t="str">
            <v>C3Pay</v>
          </cell>
          <cell r="H13" t="str">
            <v>WPS</v>
          </cell>
          <cell r="I13" t="str">
            <v>13/06/2024</v>
          </cell>
          <cell r="J13">
            <v>800</v>
          </cell>
        </row>
        <row r="14">
          <cell r="B14" t="str">
            <v>231</v>
          </cell>
          <cell r="C14" t="str">
            <v>MORSHAD  ALAM ABUL KALAM</v>
          </cell>
          <cell r="D14" t="str">
            <v>30121098730725</v>
          </cell>
          <cell r="E14" t="str">
            <v>0000000562626</v>
          </cell>
          <cell r="F14" t="str">
            <v>00000000945010500074188</v>
          </cell>
          <cell r="G14" t="str">
            <v>C3Pay</v>
          </cell>
          <cell r="H14" t="str">
            <v>WPS</v>
          </cell>
          <cell r="I14" t="str">
            <v>13/06/2024</v>
          </cell>
          <cell r="J14">
            <v>800</v>
          </cell>
        </row>
        <row r="15">
          <cell r="B15" t="str">
            <v>234</v>
          </cell>
          <cell r="C15" t="str">
            <v>AZIZAR  MD ROSHAN</v>
          </cell>
          <cell r="D15" t="str">
            <v>30106097574397</v>
          </cell>
          <cell r="E15" t="str">
            <v>0000000562626</v>
          </cell>
          <cell r="F15" t="str">
            <v>00000000945010500133082</v>
          </cell>
          <cell r="G15" t="str">
            <v>C3Pay</v>
          </cell>
          <cell r="H15" t="str">
            <v>WPS</v>
          </cell>
          <cell r="I15" t="str">
            <v>13/06/2024</v>
          </cell>
          <cell r="J15">
            <v>800</v>
          </cell>
        </row>
        <row r="16">
          <cell r="B16" t="str">
            <v>182</v>
          </cell>
          <cell r="C16" t="str">
            <v>HORAMONI  MOJMDER</v>
          </cell>
          <cell r="D16" t="str">
            <v>30115037730750</v>
          </cell>
          <cell r="E16" t="str">
            <v>0000000562626</v>
          </cell>
          <cell r="F16" t="str">
            <v>00000000945010500133081</v>
          </cell>
          <cell r="G16" t="str">
            <v>C3Pay</v>
          </cell>
          <cell r="H16" t="str">
            <v>WPS</v>
          </cell>
          <cell r="I16" t="str">
            <v>13/06/2024</v>
          </cell>
          <cell r="J16">
            <v>800</v>
          </cell>
        </row>
        <row r="17">
          <cell r="B17" t="str">
            <v>213</v>
          </cell>
          <cell r="C17" t="str">
            <v>MUBARAK  KALU BHUIYAN</v>
          </cell>
          <cell r="D17" t="str">
            <v>30110108452099</v>
          </cell>
          <cell r="E17" t="str">
            <v>0000000562626</v>
          </cell>
          <cell r="F17" t="str">
            <v>00000000915010502102797</v>
          </cell>
          <cell r="G17" t="str">
            <v>C3Pay</v>
          </cell>
          <cell r="H17" t="str">
            <v>WPS</v>
          </cell>
          <cell r="I17" t="str">
            <v>13/06/2024</v>
          </cell>
          <cell r="J17">
            <v>800</v>
          </cell>
        </row>
        <row r="18">
          <cell r="B18" t="str">
            <v>247</v>
          </cell>
          <cell r="C18" t="str">
            <v>NAZRUL  ABDUL MALAK</v>
          </cell>
          <cell r="D18" t="str">
            <v>30111058345445</v>
          </cell>
          <cell r="E18" t="str">
            <v>0000000562626</v>
          </cell>
          <cell r="F18" t="str">
            <v>00000000915010502102799</v>
          </cell>
          <cell r="G18" t="str">
            <v>C3Pay</v>
          </cell>
          <cell r="H18" t="str">
            <v>WPS</v>
          </cell>
          <cell r="I18" t="str">
            <v>13/06/2024</v>
          </cell>
          <cell r="J18">
            <v>800</v>
          </cell>
        </row>
        <row r="19">
          <cell r="B19" t="str">
            <v>604</v>
          </cell>
          <cell r="C19" t="str">
            <v>IMDAD  ALI BHUTO</v>
          </cell>
          <cell r="D19" t="str">
            <v>20014108776436</v>
          </cell>
          <cell r="E19" t="str">
            <v>0000000562626</v>
          </cell>
          <cell r="F19" t="str">
            <v>00000000915015862102805</v>
          </cell>
          <cell r="G19" t="str">
            <v>C3Pay</v>
          </cell>
          <cell r="H19" t="str">
            <v>WPS</v>
          </cell>
          <cell r="I19" t="str">
            <v>13/06/2024</v>
          </cell>
          <cell r="J19">
            <v>700</v>
          </cell>
        </row>
        <row r="20">
          <cell r="B20" t="str">
            <v>606</v>
          </cell>
          <cell r="C20" t="str">
            <v>AZEEM  KHAN</v>
          </cell>
          <cell r="D20" t="str">
            <v>20006079475885</v>
          </cell>
          <cell r="E20" t="str">
            <v>0000000562626</v>
          </cell>
          <cell r="F20" t="str">
            <v>00000000915015862102806</v>
          </cell>
          <cell r="G20" t="str">
            <v>C3Pay</v>
          </cell>
          <cell r="H20" t="str">
            <v>WPS</v>
          </cell>
          <cell r="I20" t="str">
            <v>13/06/2024</v>
          </cell>
          <cell r="J20">
            <v>540</v>
          </cell>
        </row>
        <row r="21">
          <cell r="B21" t="str">
            <v>505</v>
          </cell>
          <cell r="C21" t="str">
            <v>LAXMAN  BISWAS</v>
          </cell>
          <cell r="D21" t="str">
            <v>10002048850784</v>
          </cell>
          <cell r="E21" t="str">
            <v>0000000562626</v>
          </cell>
          <cell r="F21" t="str">
            <v>00000000915013562102817</v>
          </cell>
          <cell r="G21" t="str">
            <v>C3Pay</v>
          </cell>
          <cell r="H21" t="str">
            <v>WPS</v>
          </cell>
          <cell r="I21" t="str">
            <v>13/06/2024</v>
          </cell>
          <cell r="J21">
            <v>800</v>
          </cell>
        </row>
        <row r="22">
          <cell r="B22" t="str">
            <v>670</v>
          </cell>
          <cell r="C22" t="str">
            <v>BIKRAM  YADAV</v>
          </cell>
          <cell r="D22" t="str">
            <v>31621058353025</v>
          </cell>
          <cell r="E22" t="str">
            <v>0000000562626</v>
          </cell>
          <cell r="F22" t="str">
            <v>00000000915015242102820</v>
          </cell>
          <cell r="G22" t="str">
            <v>C3Pay</v>
          </cell>
          <cell r="H22" t="str">
            <v>WPS</v>
          </cell>
          <cell r="I22" t="str">
            <v>13/06/2024</v>
          </cell>
          <cell r="J22">
            <v>700</v>
          </cell>
        </row>
        <row r="23">
          <cell r="B23" t="str">
            <v>693</v>
          </cell>
          <cell r="C23" t="str">
            <v>AMITH  KUMAR</v>
          </cell>
          <cell r="D23" t="str">
            <v>10018108203364</v>
          </cell>
          <cell r="E23" t="str">
            <v>0000000562626</v>
          </cell>
          <cell r="F23" t="str">
            <v>00000000915013562102821</v>
          </cell>
          <cell r="G23" t="str">
            <v>C3Pay</v>
          </cell>
          <cell r="H23" t="str">
            <v>WPS</v>
          </cell>
          <cell r="I23" t="str">
            <v>13/06/2024</v>
          </cell>
          <cell r="J23">
            <v>800</v>
          </cell>
        </row>
        <row r="24">
          <cell r="B24" t="str">
            <v>814</v>
          </cell>
          <cell r="C24" t="str">
            <v>SANJAY  KUMAR MANDAL</v>
          </cell>
          <cell r="D24" t="str">
            <v>31606019267844</v>
          </cell>
          <cell r="E24" t="str">
            <v>0000000562626</v>
          </cell>
          <cell r="F24" t="str">
            <v>00000000915015242102824</v>
          </cell>
          <cell r="G24" t="str">
            <v>C3Pay</v>
          </cell>
          <cell r="H24" t="str">
            <v>WPS</v>
          </cell>
          <cell r="I24" t="str">
            <v>13/06/2024</v>
          </cell>
          <cell r="J24">
            <v>700</v>
          </cell>
        </row>
        <row r="25">
          <cell r="B25" t="str">
            <v>669</v>
          </cell>
          <cell r="C25" t="str">
            <v>MAHENDRA  THAPA</v>
          </cell>
          <cell r="D25" t="str">
            <v>31607029750931</v>
          </cell>
          <cell r="E25" t="str">
            <v>0000000562626</v>
          </cell>
          <cell r="F25" t="str">
            <v>00000000945015240074189</v>
          </cell>
          <cell r="G25" t="str">
            <v>C3Pay</v>
          </cell>
          <cell r="H25" t="str">
            <v>WPS</v>
          </cell>
          <cell r="I25" t="str">
            <v>13/06/2024</v>
          </cell>
          <cell r="J25">
            <v>700</v>
          </cell>
        </row>
        <row r="26">
          <cell r="B26" t="str">
            <v>626</v>
          </cell>
          <cell r="C26" t="str">
            <v>RIYAJUDDEEN  ANSARI RAHAMAN ANSARI</v>
          </cell>
          <cell r="D26" t="str">
            <v>10025038772389</v>
          </cell>
          <cell r="E26" t="str">
            <v>0000000562626</v>
          </cell>
          <cell r="F26" t="str">
            <v>00000000945013560074190</v>
          </cell>
          <cell r="G26" t="str">
            <v>C3Pay</v>
          </cell>
          <cell r="H26" t="str">
            <v>WPS</v>
          </cell>
          <cell r="I26" t="str">
            <v>13/06/2024</v>
          </cell>
          <cell r="J26">
            <v>900</v>
          </cell>
        </row>
        <row r="27">
          <cell r="B27" t="str">
            <v>695</v>
          </cell>
          <cell r="C27" t="str">
            <v>TEJ  BAHADUR RANA</v>
          </cell>
          <cell r="D27" t="str">
            <v>31629018468120</v>
          </cell>
          <cell r="E27" t="str">
            <v>0000000562626</v>
          </cell>
          <cell r="F27" t="str">
            <v>00000000945015240074191</v>
          </cell>
          <cell r="G27" t="str">
            <v>C3Pay</v>
          </cell>
          <cell r="H27" t="str">
            <v>WPS</v>
          </cell>
          <cell r="I27" t="str">
            <v>13/06/2024</v>
          </cell>
          <cell r="J27">
            <v>700</v>
          </cell>
        </row>
        <row r="28">
          <cell r="B28" t="str">
            <v>790</v>
          </cell>
          <cell r="C28" t="str">
            <v>RABINDRA  DAS TATMA</v>
          </cell>
          <cell r="D28" t="str">
            <v>31624019175423</v>
          </cell>
          <cell r="E28" t="str">
            <v>0000000562626</v>
          </cell>
          <cell r="F28" t="str">
            <v>00000000945015240074196</v>
          </cell>
          <cell r="G28" t="str">
            <v>C3Pay</v>
          </cell>
          <cell r="H28" t="str">
            <v>WPS</v>
          </cell>
          <cell r="I28" t="str">
            <v>13/06/2024</v>
          </cell>
          <cell r="J28">
            <v>700</v>
          </cell>
        </row>
        <row r="29">
          <cell r="B29" t="str">
            <v>469</v>
          </cell>
          <cell r="C29" t="str">
            <v>LALAN  PRASAD INDRASAN PRASAD</v>
          </cell>
          <cell r="D29" t="str">
            <v>10004028926930</v>
          </cell>
          <cell r="E29" t="str">
            <v>0000000562626</v>
          </cell>
          <cell r="F29" t="str">
            <v>00000000945013560074201</v>
          </cell>
          <cell r="G29" t="str">
            <v>C3Pay</v>
          </cell>
          <cell r="H29" t="str">
            <v>WPS</v>
          </cell>
          <cell r="I29" t="str">
            <v>13/06/2024</v>
          </cell>
          <cell r="J29">
            <v>693</v>
          </cell>
        </row>
        <row r="30">
          <cell r="B30" t="str">
            <v>662</v>
          </cell>
          <cell r="C30" t="str">
            <v>SHAILESH  YADAV VEERA YADAV</v>
          </cell>
          <cell r="D30" t="str">
            <v>10005029571583</v>
          </cell>
          <cell r="E30" t="str">
            <v>0000000562626</v>
          </cell>
          <cell r="F30" t="str">
            <v>00000000945013560074202</v>
          </cell>
          <cell r="G30" t="str">
            <v>C3Pay</v>
          </cell>
          <cell r="H30" t="str">
            <v>WPS</v>
          </cell>
          <cell r="I30" t="str">
            <v>13/06/2024</v>
          </cell>
          <cell r="J30">
            <v>900</v>
          </cell>
        </row>
        <row r="31">
          <cell r="B31" t="str">
            <v>1045</v>
          </cell>
          <cell r="C31" t="str">
            <v>DALOWAR  HOSSAIN</v>
          </cell>
          <cell r="D31" t="str">
            <v>30125017837560</v>
          </cell>
          <cell r="E31" t="str">
            <v>0000000562626</v>
          </cell>
          <cell r="F31" t="str">
            <v>00000000945010500074198</v>
          </cell>
          <cell r="G31" t="str">
            <v>C3Pay</v>
          </cell>
          <cell r="H31" t="str">
            <v>WPS</v>
          </cell>
          <cell r="I31" t="str">
            <v>13/06/2024</v>
          </cell>
          <cell r="J31">
            <v>900</v>
          </cell>
        </row>
        <row r="32">
          <cell r="B32" t="str">
            <v>675</v>
          </cell>
          <cell r="C32" t="str">
            <v>GORAYA  RAWAL</v>
          </cell>
          <cell r="D32" t="str">
            <v>31602018468010</v>
          </cell>
          <cell r="E32" t="str">
            <v>0000000562626</v>
          </cell>
          <cell r="F32" t="str">
            <v>00000000945015240133096</v>
          </cell>
          <cell r="G32" t="str">
            <v>C3Pay</v>
          </cell>
          <cell r="H32" t="str">
            <v>WPS</v>
          </cell>
          <cell r="I32" t="str">
            <v>13/06/2024</v>
          </cell>
          <cell r="J32">
            <v>373</v>
          </cell>
        </row>
        <row r="33">
          <cell r="B33" t="str">
            <v>652</v>
          </cell>
          <cell r="C33" t="str">
            <v>RAM  VILASH SINGH YADAV</v>
          </cell>
          <cell r="D33" t="str">
            <v>10001017970483</v>
          </cell>
          <cell r="E33" t="str">
            <v>0000000562626</v>
          </cell>
          <cell r="F33" t="str">
            <v>00000000945013560133092</v>
          </cell>
          <cell r="G33" t="str">
            <v>C3Pay</v>
          </cell>
          <cell r="H33" t="str">
            <v>WPS</v>
          </cell>
          <cell r="I33" t="str">
            <v>13/06/2024</v>
          </cell>
          <cell r="J33">
            <v>900</v>
          </cell>
        </row>
        <row r="34">
          <cell r="B34" t="str">
            <v>583</v>
          </cell>
          <cell r="C34" t="str">
            <v>INAYAT  ULLAH</v>
          </cell>
          <cell r="D34" t="str">
            <v>20006118663043</v>
          </cell>
          <cell r="E34" t="str">
            <v>0000000562626</v>
          </cell>
          <cell r="F34" t="str">
            <v>00000000945015860133089</v>
          </cell>
          <cell r="G34" t="str">
            <v>C3Pay</v>
          </cell>
          <cell r="H34" t="str">
            <v>WPS</v>
          </cell>
          <cell r="I34" t="str">
            <v>13/06/2024</v>
          </cell>
          <cell r="J34">
            <v>653</v>
          </cell>
        </row>
        <row r="35">
          <cell r="B35" t="str">
            <v>654</v>
          </cell>
          <cell r="C35" t="str">
            <v>RAJNESH  SVAMEENATH</v>
          </cell>
          <cell r="D35" t="str">
            <v>10001128170446</v>
          </cell>
          <cell r="E35" t="str">
            <v>0000000562626</v>
          </cell>
          <cell r="F35" t="str">
            <v>00000000945013560133093</v>
          </cell>
          <cell r="G35" t="str">
            <v>C3Pay</v>
          </cell>
          <cell r="H35" t="str">
            <v>WPS</v>
          </cell>
          <cell r="I35" t="str">
            <v>13/06/2024</v>
          </cell>
          <cell r="J35">
            <v>900</v>
          </cell>
        </row>
        <row r="36">
          <cell r="B36" t="str">
            <v>75</v>
          </cell>
          <cell r="C36" t="str">
            <v>MD SHAHBAZ  MUHAMMAD AFZAL</v>
          </cell>
          <cell r="D36" t="str">
            <v>20019038501917</v>
          </cell>
          <cell r="E36" t="str">
            <v>0000000562626</v>
          </cell>
          <cell r="F36" t="str">
            <v>00000000945015860133078</v>
          </cell>
          <cell r="G36" t="str">
            <v>C3Pay</v>
          </cell>
          <cell r="H36" t="str">
            <v>WPS</v>
          </cell>
          <cell r="I36" t="str">
            <v>13/06/2024</v>
          </cell>
          <cell r="J36">
            <v>800</v>
          </cell>
        </row>
        <row r="37">
          <cell r="B37" t="str">
            <v>265</v>
          </cell>
          <cell r="C37" t="str">
            <v>JAMAL  ABDUL RAHMAN</v>
          </cell>
          <cell r="D37" t="str">
            <v>30115037745449</v>
          </cell>
          <cell r="E37" t="str">
            <v>0000000562626</v>
          </cell>
          <cell r="F37" t="str">
            <v>00000000945010500133083</v>
          </cell>
          <cell r="G37" t="str">
            <v>C3Pay</v>
          </cell>
          <cell r="H37" t="str">
            <v>WPS</v>
          </cell>
          <cell r="I37" t="str">
            <v>13/06/2024</v>
          </cell>
          <cell r="J37">
            <v>800</v>
          </cell>
        </row>
        <row r="38">
          <cell r="B38" t="str">
            <v>1035</v>
          </cell>
          <cell r="C38" t="str">
            <v>MAMUN  JAYNAL ABEDIN</v>
          </cell>
          <cell r="D38" t="str">
            <v>30110108615606</v>
          </cell>
          <cell r="E38" t="str">
            <v>0000000562626</v>
          </cell>
          <cell r="F38" t="str">
            <v>00000000945010500141672</v>
          </cell>
          <cell r="G38" t="str">
            <v>C3Pay</v>
          </cell>
          <cell r="H38" t="str">
            <v>WPS</v>
          </cell>
          <cell r="I38" t="str">
            <v>13/06/2024</v>
          </cell>
          <cell r="J38">
            <v>900</v>
          </cell>
        </row>
        <row r="39">
          <cell r="B39" t="str">
            <v>694</v>
          </cell>
          <cell r="C39" t="str">
            <v>FAJALE ALAM FERASAT ALI  FERASAT ALI</v>
          </cell>
          <cell r="D39" t="str">
            <v>10016058097851</v>
          </cell>
          <cell r="E39" t="str">
            <v>0000000562626</v>
          </cell>
          <cell r="F39" t="str">
            <v>00000000945013560188304</v>
          </cell>
          <cell r="G39" t="str">
            <v>C3Pay</v>
          </cell>
          <cell r="H39" t="str">
            <v>WPS</v>
          </cell>
          <cell r="I39" t="str">
            <v>13/06/2024</v>
          </cell>
          <cell r="J39">
            <v>800</v>
          </cell>
        </row>
        <row r="40">
          <cell r="B40" t="str">
            <v>603</v>
          </cell>
          <cell r="C40" t="str">
            <v>TOUSEEF  ALI</v>
          </cell>
          <cell r="D40" t="str">
            <v>20001019222955</v>
          </cell>
          <cell r="E40" t="str">
            <v>0000000562626</v>
          </cell>
          <cell r="F40" t="str">
            <v>00000000945015860188301</v>
          </cell>
          <cell r="G40" t="str">
            <v>C3Pay</v>
          </cell>
          <cell r="H40" t="str">
            <v>WPS</v>
          </cell>
          <cell r="I40" t="str">
            <v>13/06/2024</v>
          </cell>
          <cell r="J40">
            <v>700</v>
          </cell>
        </row>
        <row r="41">
          <cell r="B41" t="str">
            <v>963</v>
          </cell>
          <cell r="C41" t="str">
            <v>JANAK  YADAV</v>
          </cell>
          <cell r="D41" t="str">
            <v>31629059755900</v>
          </cell>
          <cell r="E41" t="str">
            <v>0000000562626</v>
          </cell>
          <cell r="F41" t="str">
            <v>00000000915015242102813</v>
          </cell>
          <cell r="G41" t="str">
            <v>C3Pay</v>
          </cell>
          <cell r="H41" t="str">
            <v>WPS</v>
          </cell>
          <cell r="I41" t="str">
            <v>13/06/2024</v>
          </cell>
          <cell r="J41">
            <v>900</v>
          </cell>
        </row>
        <row r="42">
          <cell r="B42" t="str">
            <v>872</v>
          </cell>
          <cell r="C42" t="str">
            <v>SANJIT  AVDHMANI</v>
          </cell>
          <cell r="D42" t="str">
            <v>10001128514135</v>
          </cell>
          <cell r="E42" t="str">
            <v>0000000562626</v>
          </cell>
          <cell r="F42" t="str">
            <v>00000000915013562102827</v>
          </cell>
          <cell r="G42" t="str">
            <v>C3Pay</v>
          </cell>
          <cell r="H42" t="str">
            <v>WPS</v>
          </cell>
          <cell r="I42" t="str">
            <v>13/06/2024</v>
          </cell>
          <cell r="J42">
            <v>800</v>
          </cell>
        </row>
        <row r="43">
          <cell r="B43" t="str">
            <v>876</v>
          </cell>
          <cell r="C43" t="str">
            <v>ACHINTA  ROY</v>
          </cell>
          <cell r="D43" t="str">
            <v>10027059803627</v>
          </cell>
          <cell r="E43" t="str">
            <v>0000000562626</v>
          </cell>
          <cell r="F43" t="str">
            <v>00000000915015242102828</v>
          </cell>
          <cell r="G43" t="str">
            <v>C3Pay</v>
          </cell>
          <cell r="H43" t="str">
            <v>WPS</v>
          </cell>
          <cell r="I43" t="str">
            <v>13/06/2024</v>
          </cell>
          <cell r="J43">
            <v>800</v>
          </cell>
        </row>
        <row r="44">
          <cell r="B44" t="str">
            <v>881</v>
          </cell>
          <cell r="C44" t="str">
            <v>SURESH  BISTA</v>
          </cell>
          <cell r="D44" t="str">
            <v>31631078882712</v>
          </cell>
          <cell r="E44" t="str">
            <v>0000000562626</v>
          </cell>
          <cell r="F44" t="str">
            <v>00000000915015242102829</v>
          </cell>
          <cell r="G44" t="str">
            <v>C3Pay</v>
          </cell>
          <cell r="H44" t="str">
            <v>WPS</v>
          </cell>
          <cell r="I44" t="str">
            <v>13/06/2024</v>
          </cell>
          <cell r="J44">
            <v>700</v>
          </cell>
        </row>
        <row r="45">
          <cell r="B45" t="str">
            <v>894</v>
          </cell>
          <cell r="C45" t="str">
            <v>RAJ  KUMAR BAL </v>
          </cell>
          <cell r="D45" t="str">
            <v>31606069191337</v>
          </cell>
          <cell r="E45" t="str">
            <v>0000000562626</v>
          </cell>
          <cell r="F45" t="str">
            <v>00000000915015242102832</v>
          </cell>
          <cell r="G45" t="str">
            <v>C3Pay</v>
          </cell>
          <cell r="H45" t="str">
            <v>WPS</v>
          </cell>
          <cell r="I45" t="str">
            <v>13/06/2024</v>
          </cell>
          <cell r="J45">
            <v>700</v>
          </cell>
        </row>
        <row r="46">
          <cell r="B46" t="str">
            <v>982</v>
          </cell>
          <cell r="C46" t="str">
            <v>SHAH  NAWAZ </v>
          </cell>
          <cell r="D46" t="str">
            <v>20001010043962</v>
          </cell>
          <cell r="E46" t="str">
            <v>0000000562626</v>
          </cell>
          <cell r="F46" t="str">
            <v>00000000915015862102837</v>
          </cell>
          <cell r="G46" t="str">
            <v>C3Pay</v>
          </cell>
          <cell r="H46" t="str">
            <v>WPS</v>
          </cell>
          <cell r="I46" t="str">
            <v>13/06/2024</v>
          </cell>
          <cell r="J46">
            <v>900</v>
          </cell>
        </row>
        <row r="47">
          <cell r="B47" t="str">
            <v>995</v>
          </cell>
          <cell r="C47" t="str">
            <v>MUNAWAR  SAEED ANWAR SAID</v>
          </cell>
          <cell r="D47" t="str">
            <v>20002017889003</v>
          </cell>
          <cell r="E47" t="str">
            <v>0000000562626</v>
          </cell>
          <cell r="F47" t="str">
            <v>00000000915015862102838</v>
          </cell>
          <cell r="G47" t="str">
            <v>C3Pay</v>
          </cell>
          <cell r="H47" t="str">
            <v>WPS</v>
          </cell>
          <cell r="I47" t="str">
            <v>13/06/2024</v>
          </cell>
          <cell r="J47">
            <v>677</v>
          </cell>
        </row>
        <row r="48">
          <cell r="B48" t="str">
            <v>C045</v>
          </cell>
          <cell r="C48" t="str">
            <v>MOHAMMAD  NUR KALAM</v>
          </cell>
          <cell r="D48" t="str">
            <v>10024128889521</v>
          </cell>
          <cell r="E48" t="str">
            <v>0000000562626</v>
          </cell>
          <cell r="F48" t="str">
            <v>00000000915013562102845</v>
          </cell>
          <cell r="G48" t="str">
            <v>C3Pay</v>
          </cell>
          <cell r="H48" t="str">
            <v>WPS</v>
          </cell>
          <cell r="I48" t="str">
            <v>13/06/2024</v>
          </cell>
          <cell r="J48">
            <v>80</v>
          </cell>
        </row>
        <row r="49">
          <cell r="B49" t="str">
            <v>G 19</v>
          </cell>
          <cell r="C49" t="str">
            <v>ABDUL  KALAM</v>
          </cell>
          <cell r="D49" t="str">
            <v>30105029388010</v>
          </cell>
          <cell r="E49" t="str">
            <v>0000000562626</v>
          </cell>
          <cell r="F49" t="str">
            <v>00000000915010502102850</v>
          </cell>
          <cell r="G49" t="str">
            <v>C3Pay</v>
          </cell>
          <cell r="H49" t="str">
            <v>WPS</v>
          </cell>
          <cell r="I49" t="str">
            <v>13/06/2024</v>
          </cell>
          <cell r="J49">
            <v>677</v>
          </cell>
        </row>
        <row r="50">
          <cell r="B50" t="str">
            <v>C060</v>
          </cell>
          <cell r="C50" t="str">
            <v>MAHARFUL  SEKH JANSAD</v>
          </cell>
          <cell r="D50" t="str">
            <v>10001018881866</v>
          </cell>
          <cell r="E50" t="str">
            <v>0000000562626</v>
          </cell>
          <cell r="F50" t="str">
            <v>00000000945013560074199</v>
          </cell>
          <cell r="G50" t="str">
            <v>C3Pay</v>
          </cell>
          <cell r="H50" t="str">
            <v>WPS</v>
          </cell>
          <cell r="I50" t="str">
            <v>13/06/2024</v>
          </cell>
          <cell r="J50">
            <v>800</v>
          </cell>
        </row>
        <row r="51">
          <cell r="B51" t="str">
            <v>C042</v>
          </cell>
          <cell r="C51" t="str">
            <v>MUHAMMAD  KAMIL ABDUL MALIK</v>
          </cell>
          <cell r="D51" t="str">
            <v>20030038783899</v>
          </cell>
          <cell r="E51" t="str">
            <v>0000000562626</v>
          </cell>
          <cell r="F51" t="str">
            <v>00000000945015860074200</v>
          </cell>
          <cell r="G51" t="str">
            <v>C3Pay</v>
          </cell>
          <cell r="H51" t="str">
            <v>WPS</v>
          </cell>
          <cell r="I51" t="str">
            <v>13/06/2024</v>
          </cell>
          <cell r="J51">
            <v>400</v>
          </cell>
        </row>
        <row r="52">
          <cell r="B52" t="str">
            <v>681</v>
          </cell>
          <cell r="C52" t="str">
            <v>KHALIQ  NOOR BADSHAH</v>
          </cell>
          <cell r="D52" t="str">
            <v>20019069341390</v>
          </cell>
          <cell r="E52" t="str">
            <v>0000000562626</v>
          </cell>
          <cell r="F52" t="str">
            <v>00000000945015860074203</v>
          </cell>
          <cell r="G52" t="str">
            <v>C3Pay</v>
          </cell>
          <cell r="H52" t="str">
            <v>WPS</v>
          </cell>
          <cell r="I52" t="str">
            <v>13/06/2024</v>
          </cell>
          <cell r="J52">
            <v>700</v>
          </cell>
        </row>
        <row r="53">
          <cell r="B53" t="str">
            <v>848</v>
          </cell>
          <cell r="C53" t="str">
            <v>DARSHAN  AMRIT PAL</v>
          </cell>
          <cell r="D53" t="str">
            <v>10016098561592</v>
          </cell>
          <cell r="E53" t="str">
            <v>0000000562626</v>
          </cell>
          <cell r="F53" t="str">
            <v>00000000945013560074186</v>
          </cell>
          <cell r="G53" t="str">
            <v>C3Pay</v>
          </cell>
          <cell r="H53" t="str">
            <v>WPS</v>
          </cell>
          <cell r="I53" t="str">
            <v>13/06/2024</v>
          </cell>
          <cell r="J53">
            <v>700</v>
          </cell>
        </row>
        <row r="54">
          <cell r="B54" t="str">
            <v>88</v>
          </cell>
          <cell r="C54" t="str">
            <v>AMIR  SHAHZAD GHULAM RASOOL</v>
          </cell>
          <cell r="D54" t="str">
            <v>20014098680204</v>
          </cell>
          <cell r="E54" t="str">
            <v>0000000562626</v>
          </cell>
          <cell r="F54" t="str">
            <v>00000000945015860074185</v>
          </cell>
          <cell r="G54" t="str">
            <v>C3Pay</v>
          </cell>
          <cell r="H54" t="str">
            <v>WPS</v>
          </cell>
          <cell r="I54" t="str">
            <v>13/06/2024</v>
          </cell>
          <cell r="J54">
            <v>800</v>
          </cell>
        </row>
        <row r="55">
          <cell r="B55" t="str">
            <v>631</v>
          </cell>
          <cell r="C55" t="str">
            <v>ARSALAN  MAHMOOD</v>
          </cell>
          <cell r="D55" t="str">
            <v>20019089539915</v>
          </cell>
          <cell r="E55" t="str">
            <v>0000000562626</v>
          </cell>
          <cell r="F55" t="str">
            <v>00000000945015860133090</v>
          </cell>
          <cell r="G55" t="str">
            <v>C3Pay</v>
          </cell>
          <cell r="H55" t="str">
            <v>WPS</v>
          </cell>
          <cell r="I55" t="str">
            <v>13/06/2024</v>
          </cell>
          <cell r="J55">
            <v>583</v>
          </cell>
        </row>
        <row r="56">
          <cell r="B56" t="str">
            <v>818</v>
          </cell>
          <cell r="C56" t="str">
            <v>MANOJ  YADAV</v>
          </cell>
          <cell r="D56" t="str">
            <v>10001018146194</v>
          </cell>
          <cell r="E56" t="str">
            <v>0000000562626</v>
          </cell>
          <cell r="F56" t="str">
            <v>00000000945013560133105</v>
          </cell>
          <cell r="G56" t="str">
            <v>C3Pay</v>
          </cell>
          <cell r="H56" t="str">
            <v>WPS</v>
          </cell>
          <cell r="I56" t="str">
            <v>13/06/2024</v>
          </cell>
          <cell r="J56">
            <v>900</v>
          </cell>
        </row>
        <row r="57">
          <cell r="B57" t="str">
            <v>883</v>
          </cell>
          <cell r="C57" t="str">
            <v>AHAMD  ANSARI ATABUL</v>
          </cell>
          <cell r="D57" t="str">
            <v>31621089891583</v>
          </cell>
          <cell r="E57" t="str">
            <v>0000000562626</v>
          </cell>
          <cell r="F57" t="str">
            <v>00000000945015240133115</v>
          </cell>
          <cell r="G57" t="str">
            <v>C3Pay</v>
          </cell>
          <cell r="H57" t="str">
            <v>WPS</v>
          </cell>
          <cell r="I57" t="str">
            <v>13/06/2024</v>
          </cell>
          <cell r="J57">
            <v>420</v>
          </cell>
        </row>
        <row r="58">
          <cell r="B58" t="str">
            <v>873</v>
          </cell>
          <cell r="C58" t="str">
            <v>KISHORE  BAITHA</v>
          </cell>
          <cell r="D58" t="str">
            <v>10015118329859</v>
          </cell>
          <cell r="E58" t="str">
            <v>0000000562626</v>
          </cell>
          <cell r="F58" t="str">
            <v>00000000945013560133114</v>
          </cell>
          <cell r="G58" t="str">
            <v>C3Pay</v>
          </cell>
          <cell r="H58" t="str">
            <v>WPS</v>
          </cell>
          <cell r="I58" t="str">
            <v>13/06/2024</v>
          </cell>
          <cell r="J58">
            <v>160</v>
          </cell>
        </row>
        <row r="59">
          <cell r="B59" t="str">
            <v>867</v>
          </cell>
          <cell r="C59" t="str">
            <v>ARVIND  KUMAR</v>
          </cell>
          <cell r="D59" t="str">
            <v>10001019319956</v>
          </cell>
          <cell r="E59" t="str">
            <v>0000000562626</v>
          </cell>
          <cell r="F59" t="str">
            <v>00000000945013560133112</v>
          </cell>
          <cell r="G59" t="str">
            <v>C3Pay</v>
          </cell>
          <cell r="H59" t="str">
            <v>WPS</v>
          </cell>
          <cell r="I59" t="str">
            <v>13/06/2024</v>
          </cell>
          <cell r="J59">
            <v>840</v>
          </cell>
        </row>
        <row r="60">
          <cell r="B60" t="str">
            <v>849</v>
          </cell>
          <cell r="C60" t="str">
            <v>PARDESHI  GURUSANT</v>
          </cell>
          <cell r="D60" t="str">
            <v>10001019462216</v>
          </cell>
          <cell r="E60" t="str">
            <v>0000000562626</v>
          </cell>
          <cell r="F60" t="str">
            <v>00000000945013560133110</v>
          </cell>
          <cell r="G60" t="str">
            <v>C3Pay</v>
          </cell>
          <cell r="H60" t="str">
            <v>WPS</v>
          </cell>
          <cell r="I60" t="str">
            <v>13/06/2024</v>
          </cell>
          <cell r="J60">
            <v>900</v>
          </cell>
        </row>
        <row r="61">
          <cell r="B61" t="str">
            <v>837</v>
          </cell>
          <cell r="C61" t="str">
            <v>RAM  LAKHAN</v>
          </cell>
          <cell r="D61" t="str">
            <v>10016029156624</v>
          </cell>
          <cell r="E61" t="str">
            <v>0000000562626</v>
          </cell>
          <cell r="F61" t="str">
            <v>00000000945013560133108</v>
          </cell>
          <cell r="G61" t="str">
            <v>C3Pay</v>
          </cell>
          <cell r="H61" t="str">
            <v>WPS</v>
          </cell>
          <cell r="I61" t="str">
            <v>13/06/2024</v>
          </cell>
          <cell r="J61">
            <v>840</v>
          </cell>
        </row>
        <row r="62">
          <cell r="B62" t="str">
            <v>836</v>
          </cell>
          <cell r="C62" t="str">
            <v>GIRIJESH  PARAS NATH</v>
          </cell>
          <cell r="D62" t="str">
            <v>10001018730320</v>
          </cell>
          <cell r="E62" t="str">
            <v>0000000562626</v>
          </cell>
          <cell r="F62" t="str">
            <v>00000000945013560133107</v>
          </cell>
          <cell r="G62" t="str">
            <v>C3Pay</v>
          </cell>
          <cell r="H62" t="str">
            <v>WPS</v>
          </cell>
          <cell r="I62" t="str">
            <v>13/06/2024</v>
          </cell>
          <cell r="J62">
            <v>700</v>
          </cell>
        </row>
        <row r="63">
          <cell r="B63" t="str">
            <v>821</v>
          </cell>
          <cell r="C63" t="str">
            <v>SHANKAR  SINGH</v>
          </cell>
          <cell r="D63" t="str">
            <v>10013098624851</v>
          </cell>
          <cell r="E63" t="str">
            <v>0000000562626</v>
          </cell>
          <cell r="F63" t="str">
            <v>00000000945013560133106</v>
          </cell>
          <cell r="G63" t="str">
            <v>C3Pay</v>
          </cell>
          <cell r="H63" t="str">
            <v>WPS</v>
          </cell>
          <cell r="I63" t="str">
            <v>13/06/2024</v>
          </cell>
          <cell r="J63">
            <v>60</v>
          </cell>
        </row>
        <row r="64">
          <cell r="B64" t="str">
            <v>C015</v>
          </cell>
          <cell r="C64" t="str">
            <v>JAVED  KHAN JUMMAN</v>
          </cell>
          <cell r="D64" t="str">
            <v>10001029387702</v>
          </cell>
          <cell r="E64" t="str">
            <v>0000000562626</v>
          </cell>
          <cell r="F64" t="str">
            <v>00000000945013560141679</v>
          </cell>
          <cell r="G64" t="str">
            <v>C3Pay</v>
          </cell>
          <cell r="H64" t="str">
            <v>WPS</v>
          </cell>
          <cell r="I64" t="str">
            <v>13/06/2024</v>
          </cell>
          <cell r="J64">
            <v>800</v>
          </cell>
        </row>
        <row r="65">
          <cell r="B65" t="str">
            <v>C025</v>
          </cell>
          <cell r="C65" t="str">
            <v>NARAJUL  SEKH NASIR S</v>
          </cell>
          <cell r="D65" t="str">
            <v>10005018982160</v>
          </cell>
          <cell r="E65" t="str">
            <v>0000000562626</v>
          </cell>
          <cell r="F65" t="str">
            <v>00000000945013560141683</v>
          </cell>
          <cell r="G65" t="str">
            <v>C3Pay</v>
          </cell>
          <cell r="H65" t="str">
            <v>WPS</v>
          </cell>
          <cell r="I65" t="str">
            <v>13/06/2024</v>
          </cell>
          <cell r="J65">
            <v>800</v>
          </cell>
        </row>
        <row r="66">
          <cell r="B66" t="str">
            <v>C032</v>
          </cell>
          <cell r="C66" t="str">
            <v>NUR ISLAM  SEIKH SULT</v>
          </cell>
          <cell r="D66" t="str">
            <v>10001018281822</v>
          </cell>
          <cell r="E66" t="str">
            <v>0000000562626</v>
          </cell>
          <cell r="F66" t="str">
            <v>00000000945013560141687</v>
          </cell>
          <cell r="G66" t="str">
            <v>C3Pay</v>
          </cell>
          <cell r="H66" t="str">
            <v>WPS</v>
          </cell>
          <cell r="I66" t="str">
            <v>13/06/2024</v>
          </cell>
          <cell r="J66">
            <v>800</v>
          </cell>
        </row>
        <row r="67">
          <cell r="B67" t="str">
            <v>C050</v>
          </cell>
          <cell r="C67" t="str">
            <v>KAWSAR  ALI MAJIBUL S</v>
          </cell>
          <cell r="D67" t="str">
            <v>10005108881515</v>
          </cell>
          <cell r="E67" t="str">
            <v>0000000562626</v>
          </cell>
          <cell r="F67" t="str">
            <v>00000000945013560141689</v>
          </cell>
          <cell r="G67" t="str">
            <v>C3Pay</v>
          </cell>
          <cell r="H67" t="str">
            <v>WPS</v>
          </cell>
          <cell r="I67" t="str">
            <v>13/06/2024</v>
          </cell>
          <cell r="J67">
            <v>773</v>
          </cell>
        </row>
        <row r="68">
          <cell r="B68" t="str">
            <v>C056</v>
          </cell>
          <cell r="C68" t="str">
            <v>SAID  AHMED QURESHI</v>
          </cell>
          <cell r="D68" t="str">
            <v>10010067492279</v>
          </cell>
          <cell r="E68" t="str">
            <v>0000000562626</v>
          </cell>
          <cell r="F68" t="str">
            <v>00000000945013560141691</v>
          </cell>
          <cell r="G68" t="str">
            <v>C3Pay</v>
          </cell>
          <cell r="H68" t="str">
            <v>WPS</v>
          </cell>
          <cell r="I68" t="str">
            <v>13/06/2024</v>
          </cell>
          <cell r="J68">
            <v>747</v>
          </cell>
        </row>
        <row r="69">
          <cell r="B69" t="str">
            <v>C070</v>
          </cell>
          <cell r="C69" t="str">
            <v>ABDUL  HAI AAHRAHIM S</v>
          </cell>
          <cell r="D69" t="str">
            <v>10001018773365</v>
          </cell>
          <cell r="E69" t="str">
            <v>0000000562626</v>
          </cell>
          <cell r="F69" t="str">
            <v>00000000945013560141694</v>
          </cell>
          <cell r="G69" t="str">
            <v>C3Pay</v>
          </cell>
          <cell r="H69" t="str">
            <v>WPS</v>
          </cell>
          <cell r="I69" t="str">
            <v>13/06/2024</v>
          </cell>
          <cell r="J69">
            <v>800</v>
          </cell>
        </row>
        <row r="70">
          <cell r="B70" t="str">
            <v>C071</v>
          </cell>
          <cell r="C70" t="str">
            <v>SEIKH  YEASIN RAHAMAN</v>
          </cell>
          <cell r="D70" t="str">
            <v>10006038034486</v>
          </cell>
          <cell r="E70" t="str">
            <v>0000000562626</v>
          </cell>
          <cell r="F70" t="str">
            <v>00000000945013560141695</v>
          </cell>
          <cell r="G70" t="str">
            <v>C3Pay</v>
          </cell>
          <cell r="H70" t="str">
            <v>WPS</v>
          </cell>
          <cell r="I70" t="str">
            <v>13/06/2024</v>
          </cell>
          <cell r="J70">
            <v>800</v>
          </cell>
        </row>
        <row r="71">
          <cell r="B71" t="str">
            <v>C007</v>
          </cell>
          <cell r="C71" t="str">
            <v>BODIRUJAMAN  IMAMUL H</v>
          </cell>
          <cell r="D71" t="str">
            <v>10025129273702</v>
          </cell>
          <cell r="E71" t="str">
            <v>0000000562626</v>
          </cell>
          <cell r="F71" t="str">
            <v>00000000945013560141675</v>
          </cell>
          <cell r="G71" t="str">
            <v>C3Pay</v>
          </cell>
          <cell r="H71" t="str">
            <v>WPS</v>
          </cell>
          <cell r="I71" t="str">
            <v>13/06/2024</v>
          </cell>
          <cell r="J71">
            <v>800</v>
          </cell>
        </row>
        <row r="72">
          <cell r="B72" t="str">
            <v>980</v>
          </cell>
          <cell r="C72" t="str">
            <v>AMRAT  ULLAH MULTAN</v>
          </cell>
          <cell r="D72" t="str">
            <v>20001019773623</v>
          </cell>
          <cell r="E72" t="str">
            <v>0000000562626</v>
          </cell>
          <cell r="F72" t="str">
            <v>00000000945015860141653</v>
          </cell>
          <cell r="G72" t="str">
            <v>C3Pay</v>
          </cell>
          <cell r="H72" t="str">
            <v>WPS</v>
          </cell>
          <cell r="I72" t="str">
            <v>13/06/2024</v>
          </cell>
          <cell r="J72">
            <v>900</v>
          </cell>
        </row>
        <row r="73">
          <cell r="B73" t="str">
            <v>984</v>
          </cell>
          <cell r="C73" t="str">
            <v>SHAMROZ  NASRA DIN</v>
          </cell>
          <cell r="D73" t="str">
            <v>20001019208020</v>
          </cell>
          <cell r="E73" t="str">
            <v>0000000562626</v>
          </cell>
          <cell r="F73" t="str">
            <v>00000000945015860141654</v>
          </cell>
          <cell r="G73" t="str">
            <v>C3Pay</v>
          </cell>
          <cell r="H73" t="str">
            <v>WPS</v>
          </cell>
          <cell r="I73" t="str">
            <v>13/06/2024</v>
          </cell>
          <cell r="J73">
            <v>700</v>
          </cell>
        </row>
        <row r="74">
          <cell r="B74" t="str">
            <v>G126</v>
          </cell>
          <cell r="C74" t="str">
            <v>DINESH  KUMAR YADAV DHANESHWAR</v>
          </cell>
          <cell r="D74" t="str">
            <v>31631079545687</v>
          </cell>
          <cell r="E74" t="str">
            <v>0000000562626</v>
          </cell>
          <cell r="F74" t="str">
            <v>00000000945015240169353</v>
          </cell>
          <cell r="G74" t="str">
            <v>C3Pay</v>
          </cell>
          <cell r="H74" t="str">
            <v>WPS</v>
          </cell>
          <cell r="I74" t="str">
            <v>13/06/2024</v>
          </cell>
          <cell r="J74">
            <v>900</v>
          </cell>
        </row>
        <row r="75">
          <cell r="B75" t="str">
            <v>G106</v>
          </cell>
          <cell r="C75" t="str">
            <v>RABINDRA  KUMAR MAHARA</v>
          </cell>
          <cell r="D75" t="str">
            <v>31625059397745</v>
          </cell>
          <cell r="E75" t="str">
            <v>0000000562626</v>
          </cell>
          <cell r="F75" t="str">
            <v>00000000945015240169333</v>
          </cell>
          <cell r="G75" t="str">
            <v>C3Pay</v>
          </cell>
          <cell r="H75" t="str">
            <v>WPS</v>
          </cell>
          <cell r="I75" t="str">
            <v>13/06/2024</v>
          </cell>
          <cell r="J75">
            <v>900</v>
          </cell>
        </row>
        <row r="76">
          <cell r="B76" t="str">
            <v>G108</v>
          </cell>
          <cell r="C76" t="str">
            <v>SUNDAR  RAM SHREE LAL</v>
          </cell>
          <cell r="D76" t="str">
            <v>31619059804089</v>
          </cell>
          <cell r="E76" t="str">
            <v>0000000562626</v>
          </cell>
          <cell r="F76" t="str">
            <v>00000000945015240169335</v>
          </cell>
          <cell r="G76" t="str">
            <v>C3Pay</v>
          </cell>
          <cell r="H76" t="str">
            <v>WPS</v>
          </cell>
          <cell r="I76" t="str">
            <v>13/06/2024</v>
          </cell>
          <cell r="J76">
            <v>900</v>
          </cell>
        </row>
        <row r="77">
          <cell r="B77" t="str">
            <v>G109</v>
          </cell>
          <cell r="C77" t="str">
            <v>BISHAMBAR  YADAV RAJ LAL YADAV</v>
          </cell>
          <cell r="D77" t="str">
            <v>31604088410361</v>
          </cell>
          <cell r="E77" t="str">
            <v>0000000562626</v>
          </cell>
          <cell r="F77" t="str">
            <v>00000000945015240169336</v>
          </cell>
          <cell r="G77" t="str">
            <v>C3Pay</v>
          </cell>
          <cell r="H77" t="str">
            <v>WPS</v>
          </cell>
          <cell r="I77" t="str">
            <v>13/06/2024</v>
          </cell>
          <cell r="J77">
            <v>900</v>
          </cell>
        </row>
        <row r="78">
          <cell r="B78" t="str">
            <v>G110</v>
          </cell>
          <cell r="C78" t="str">
            <v>BILTU  SADA</v>
          </cell>
          <cell r="D78" t="str">
            <v>31606108284443</v>
          </cell>
          <cell r="E78" t="str">
            <v>0000000562626</v>
          </cell>
          <cell r="F78" t="str">
            <v>00000000945015240169337</v>
          </cell>
          <cell r="G78" t="str">
            <v>C3Pay</v>
          </cell>
          <cell r="H78" t="str">
            <v>WPS</v>
          </cell>
          <cell r="I78" t="str">
            <v>13/06/2024</v>
          </cell>
          <cell r="J78">
            <v>900</v>
          </cell>
        </row>
        <row r="79">
          <cell r="B79" t="str">
            <v>G111</v>
          </cell>
          <cell r="C79" t="str">
            <v>SURESH  DAS KATHABANIYA</v>
          </cell>
          <cell r="D79" t="str">
            <v>31610098324553</v>
          </cell>
          <cell r="E79" t="str">
            <v>0000000562626</v>
          </cell>
          <cell r="F79" t="str">
            <v>00000000945015240169338</v>
          </cell>
          <cell r="G79" t="str">
            <v>C3Pay</v>
          </cell>
          <cell r="H79" t="str">
            <v>WPS</v>
          </cell>
          <cell r="I79" t="str">
            <v>13/06/2024</v>
          </cell>
          <cell r="J79">
            <v>900</v>
          </cell>
        </row>
        <row r="80">
          <cell r="B80" t="str">
            <v>628</v>
          </cell>
          <cell r="C80" t="str">
            <v>DIPAK  RAM BABAN RAM</v>
          </cell>
          <cell r="D80" t="str">
            <v>10005108839927</v>
          </cell>
          <cell r="E80" t="str">
            <v>0000000562626</v>
          </cell>
          <cell r="F80" t="str">
            <v>00000000945013560188302</v>
          </cell>
          <cell r="G80" t="str">
            <v>C3Pay</v>
          </cell>
          <cell r="H80" t="str">
            <v>WPS</v>
          </cell>
          <cell r="I80" t="str">
            <v>13/06/2024</v>
          </cell>
          <cell r="J80">
            <v>420</v>
          </cell>
        </row>
        <row r="81">
          <cell r="B81" t="str">
            <v>C008</v>
          </cell>
          <cell r="C81" t="str">
            <v>HASAN  SEKH EKDAR SEK</v>
          </cell>
          <cell r="D81" t="str">
            <v>10001017792106</v>
          </cell>
          <cell r="E81" t="str">
            <v>0000000562626</v>
          </cell>
          <cell r="F81" t="str">
            <v>00000000945013560188295</v>
          </cell>
          <cell r="G81" t="str">
            <v>C3Pay</v>
          </cell>
          <cell r="H81" t="str">
            <v>WPS</v>
          </cell>
          <cell r="I81" t="str">
            <v>13/06/2024</v>
          </cell>
          <cell r="J81">
            <v>800</v>
          </cell>
        </row>
        <row r="82">
          <cell r="B82" t="str">
            <v>G139</v>
          </cell>
          <cell r="C82" t="str">
            <v>HARINDAR  HAJARI</v>
          </cell>
          <cell r="D82" t="str">
            <v>31622049342432</v>
          </cell>
          <cell r="E82" t="str">
            <v>0000000562626</v>
          </cell>
          <cell r="F82" t="str">
            <v>00000000945015240188284</v>
          </cell>
          <cell r="G82" t="str">
            <v>C3Pay</v>
          </cell>
          <cell r="H82" t="str">
            <v>WPS</v>
          </cell>
          <cell r="I82" t="str">
            <v>13/06/2024</v>
          </cell>
          <cell r="J82">
            <v>900</v>
          </cell>
        </row>
        <row r="83">
          <cell r="B83" t="str">
            <v>G167</v>
          </cell>
          <cell r="C83" t="str">
            <v>RAJ KUMAR SADA  LAXMAN SADA MUSHAR</v>
          </cell>
          <cell r="D83" t="str">
            <v>31630089349007</v>
          </cell>
          <cell r="E83" t="str">
            <v>0000000562626</v>
          </cell>
          <cell r="F83" t="str">
            <v>00000000945015240239980</v>
          </cell>
          <cell r="G83" t="str">
            <v>C3Pay</v>
          </cell>
          <cell r="H83" t="str">
            <v>WPS</v>
          </cell>
          <cell r="I83" t="str">
            <v>13/06/2024</v>
          </cell>
          <cell r="J83">
            <v>900</v>
          </cell>
        </row>
        <row r="84">
          <cell r="B84" t="str">
            <v>840</v>
          </cell>
          <cell r="C84" t="str">
            <v>BAKSHISH  JABBAR</v>
          </cell>
          <cell r="D84" t="str">
            <v>10020078494236</v>
          </cell>
          <cell r="E84" t="str">
            <v>0000000562626</v>
          </cell>
          <cell r="F84" t="str">
            <v>00000000945013560239982</v>
          </cell>
          <cell r="G84" t="str">
            <v>C3Pay</v>
          </cell>
          <cell r="H84" t="str">
            <v>WPS</v>
          </cell>
          <cell r="I84" t="str">
            <v>13/06/2024</v>
          </cell>
          <cell r="J84">
            <v>900</v>
          </cell>
        </row>
        <row r="85">
          <cell r="B85" t="str">
            <v>G169</v>
          </cell>
          <cell r="C85" t="str">
            <v>LALKU SADA  LADDU SADA</v>
          </cell>
          <cell r="D85" t="str">
            <v>31614049772140</v>
          </cell>
          <cell r="E85" t="str">
            <v>0000000562626</v>
          </cell>
          <cell r="F85" t="str">
            <v>00000000945015240239983</v>
          </cell>
          <cell r="G85" t="str">
            <v>C3Pay</v>
          </cell>
          <cell r="H85" t="str">
            <v>WPS</v>
          </cell>
          <cell r="I85" t="str">
            <v>13/06/2024</v>
          </cell>
          <cell r="J85">
            <v>810</v>
          </cell>
        </row>
        <row r="86">
          <cell r="B86" t="str">
            <v>G200</v>
          </cell>
          <cell r="C86" t="str">
            <v>MOHAMMAD FARVEZ  MANJUR ALAM</v>
          </cell>
          <cell r="D86" t="str">
            <v>30101029761239</v>
          </cell>
          <cell r="E86" t="str">
            <v>0000000562626</v>
          </cell>
          <cell r="F86" t="str">
            <v>00000000945010500344279</v>
          </cell>
          <cell r="G86" t="str">
            <v>C3Pay</v>
          </cell>
          <cell r="H86" t="str">
            <v>WPS</v>
          </cell>
          <cell r="I86" t="str">
            <v>13/06/2024</v>
          </cell>
          <cell r="J86">
            <v>700</v>
          </cell>
        </row>
        <row r="87">
          <cell r="B87" t="str">
            <v>G204</v>
          </cell>
          <cell r="C87" t="str">
            <v>MUHAMMAD ZOHAIB  SABIR KHAN</v>
          </cell>
          <cell r="D87" t="str">
            <v>20001010254258</v>
          </cell>
          <cell r="E87" t="str">
            <v>0000000562626</v>
          </cell>
          <cell r="F87" t="str">
            <v>00000000945015860344283</v>
          </cell>
          <cell r="G87" t="str">
            <v>C3Pay</v>
          </cell>
          <cell r="H87" t="str">
            <v>WPS</v>
          </cell>
          <cell r="I87" t="str">
            <v>13/06/2024</v>
          </cell>
          <cell r="J87">
            <v>700</v>
          </cell>
        </row>
        <row r="88">
          <cell r="B88" t="str">
            <v>G220</v>
          </cell>
          <cell r="C88" t="str">
            <v>ISRAR SHAH  ZAREEN SHAH</v>
          </cell>
          <cell r="D88" t="str">
            <v>20020010254965</v>
          </cell>
          <cell r="E88" t="str">
            <v>0000000562626</v>
          </cell>
          <cell r="F88" t="str">
            <v>00000000945015860458955</v>
          </cell>
          <cell r="G88" t="str">
            <v>C3Pay</v>
          </cell>
          <cell r="H88" t="str">
            <v>WPS</v>
          </cell>
          <cell r="I88" t="str">
            <v>13/06/2024</v>
          </cell>
          <cell r="J88">
            <v>900</v>
          </cell>
        </row>
        <row r="89">
          <cell r="B89" t="str">
            <v>G24</v>
          </cell>
          <cell r="C89" t="str">
            <v>DHANIK  LAL MAHARA</v>
          </cell>
          <cell r="D89" t="str">
            <v>31611028406703</v>
          </cell>
          <cell r="E89" t="str">
            <v>0000000562626</v>
          </cell>
          <cell r="F89" t="str">
            <v>00000000945015240074169</v>
          </cell>
          <cell r="G89" t="str">
            <v>C3Pay</v>
          </cell>
          <cell r="H89" t="str">
            <v>WPS</v>
          </cell>
          <cell r="I89" t="str">
            <v>13/06/2024</v>
          </cell>
          <cell r="J89">
            <v>653</v>
          </cell>
        </row>
        <row r="90">
          <cell r="B90" t="str">
            <v>G25</v>
          </cell>
          <cell r="C90" t="str">
            <v>JAKIR  HUSAIN</v>
          </cell>
          <cell r="D90" t="str">
            <v>31625108306883</v>
          </cell>
          <cell r="E90" t="str">
            <v>0000000562626</v>
          </cell>
          <cell r="F90" t="str">
            <v>00000000945015240074170</v>
          </cell>
          <cell r="G90" t="str">
            <v>C3Pay</v>
          </cell>
          <cell r="H90" t="str">
            <v>WPS</v>
          </cell>
          <cell r="I90" t="str">
            <v>13/06/2024</v>
          </cell>
          <cell r="J90">
            <v>700</v>
          </cell>
        </row>
        <row r="91">
          <cell r="B91" t="str">
            <v>G32</v>
          </cell>
          <cell r="C91" t="str">
            <v>RAM  KUMAR YADAV</v>
          </cell>
          <cell r="D91" t="str">
            <v>31619098314898</v>
          </cell>
          <cell r="E91" t="str">
            <v>0000000562626</v>
          </cell>
          <cell r="F91" t="str">
            <v>00000000945015240074177</v>
          </cell>
          <cell r="G91" t="str">
            <v>C3Pay</v>
          </cell>
          <cell r="H91" t="str">
            <v>WPS</v>
          </cell>
          <cell r="I91" t="str">
            <v>13/06/2024</v>
          </cell>
          <cell r="J91">
            <v>700</v>
          </cell>
        </row>
        <row r="92">
          <cell r="B92" t="str">
            <v>G36</v>
          </cell>
          <cell r="C92" t="str">
            <v>SUNIL KUMAR  MAHARA</v>
          </cell>
          <cell r="D92" t="str">
            <v>31612049628752</v>
          </cell>
          <cell r="E92" t="str">
            <v>0000000562626</v>
          </cell>
          <cell r="F92" t="str">
            <v>00000000945015240074181</v>
          </cell>
          <cell r="G92" t="str">
            <v>C3Pay</v>
          </cell>
          <cell r="H92" t="str">
            <v>WPS</v>
          </cell>
          <cell r="I92" t="str">
            <v>13/06/2024</v>
          </cell>
          <cell r="J92">
            <v>653</v>
          </cell>
        </row>
        <row r="93">
          <cell r="B93" t="str">
            <v>G60</v>
          </cell>
          <cell r="C93" t="str">
            <v>MAHINDRA  YADAV</v>
          </cell>
          <cell r="D93" t="str">
            <v>31622118271880</v>
          </cell>
          <cell r="E93" t="str">
            <v>0000000562626</v>
          </cell>
          <cell r="F93" t="str">
            <v>00000000945015240105098</v>
          </cell>
          <cell r="G93" t="str">
            <v>C3Pay</v>
          </cell>
          <cell r="H93" t="str">
            <v>WPS</v>
          </cell>
          <cell r="I93" t="str">
            <v>13/06/2024</v>
          </cell>
          <cell r="J93">
            <v>870</v>
          </cell>
        </row>
        <row r="94">
          <cell r="B94" t="str">
            <v>G59</v>
          </cell>
          <cell r="C94" t="str">
            <v>BIPAIT PASWAN  JOGI PASWAN</v>
          </cell>
          <cell r="D94" t="str">
            <v>31628108472363</v>
          </cell>
          <cell r="E94" t="str">
            <v>0000000562626</v>
          </cell>
          <cell r="F94" t="str">
            <v>00000000945015240105097</v>
          </cell>
          <cell r="G94" t="str">
            <v>C3Pay</v>
          </cell>
          <cell r="H94" t="str">
            <v>WPS</v>
          </cell>
          <cell r="I94" t="str">
            <v>13/06/2024</v>
          </cell>
          <cell r="J94">
            <v>900</v>
          </cell>
        </row>
        <row r="95">
          <cell r="B95" t="str">
            <v>G54</v>
          </cell>
          <cell r="C95" t="str">
            <v>KUISANG SHERPA  PEMBA CHHEDAR SHERPA</v>
          </cell>
          <cell r="D95" t="str">
            <v>31616128848208</v>
          </cell>
          <cell r="E95" t="str">
            <v>0000000562626</v>
          </cell>
          <cell r="F95" t="str">
            <v>00000000945015240105092</v>
          </cell>
          <cell r="G95" t="str">
            <v>C3Pay</v>
          </cell>
          <cell r="H95" t="str">
            <v>WPS</v>
          </cell>
          <cell r="I95" t="str">
            <v>13/06/2024</v>
          </cell>
          <cell r="J95">
            <v>900</v>
          </cell>
        </row>
        <row r="96">
          <cell r="B96" t="str">
            <v>G48</v>
          </cell>
          <cell r="C96" t="str">
            <v>DIPENDRA SIWA DARJI  YAM KUMARI PARIYAR</v>
          </cell>
          <cell r="D96" t="str">
            <v>31620068294186</v>
          </cell>
          <cell r="E96" t="str">
            <v>0000000562626</v>
          </cell>
          <cell r="F96" t="str">
            <v>00000000945015240105086</v>
          </cell>
          <cell r="G96" t="str">
            <v>C3Pay</v>
          </cell>
          <cell r="H96" t="str">
            <v>WPS</v>
          </cell>
          <cell r="I96" t="str">
            <v>13/06/2024</v>
          </cell>
          <cell r="J96">
            <v>900</v>
          </cell>
        </row>
        <row r="97">
          <cell r="B97" t="str">
            <v>G46</v>
          </cell>
          <cell r="C97" t="str">
            <v>AMRIT RAI  BIMAL RAI</v>
          </cell>
          <cell r="D97" t="str">
            <v>31611018702798</v>
          </cell>
          <cell r="E97" t="str">
            <v>0000000562626</v>
          </cell>
          <cell r="F97" t="str">
            <v>00000000945015240105084</v>
          </cell>
          <cell r="G97" t="str">
            <v>C3Pay</v>
          </cell>
          <cell r="H97" t="str">
            <v>WPS</v>
          </cell>
          <cell r="I97" t="str">
            <v>13/06/2024</v>
          </cell>
          <cell r="J97">
            <v>900</v>
          </cell>
        </row>
        <row r="98">
          <cell r="B98" t="str">
            <v>G42</v>
          </cell>
          <cell r="C98" t="str">
            <v>NAR BAHADUR LIMBU  UTTAR BAHADUR LIMBU</v>
          </cell>
          <cell r="D98" t="str">
            <v>31631089411325</v>
          </cell>
          <cell r="E98" t="str">
            <v>0000000562626</v>
          </cell>
          <cell r="F98" t="str">
            <v>00000000945015240105080</v>
          </cell>
          <cell r="G98" t="str">
            <v>C3Pay</v>
          </cell>
          <cell r="H98" t="str">
            <v>WPS</v>
          </cell>
          <cell r="I98" t="str">
            <v>13/06/2024</v>
          </cell>
          <cell r="J98">
            <v>870</v>
          </cell>
        </row>
        <row r="99">
          <cell r="B99" t="str">
            <v>G40</v>
          </cell>
          <cell r="C99" t="str">
            <v>SANJAY  MAHATO DHAGAD</v>
          </cell>
          <cell r="D99" t="str">
            <v>31601119619809</v>
          </cell>
          <cell r="E99" t="str">
            <v>0000000562626</v>
          </cell>
          <cell r="F99" t="str">
            <v>00000000945015240105078</v>
          </cell>
          <cell r="G99" t="str">
            <v>C3Pay</v>
          </cell>
          <cell r="H99" t="str">
            <v>WPS</v>
          </cell>
          <cell r="I99" t="str">
            <v>13/06/2024</v>
          </cell>
          <cell r="J99">
            <v>900</v>
          </cell>
        </row>
        <row r="100">
          <cell r="B100" t="str">
            <v>G39</v>
          </cell>
          <cell r="C100" t="str">
            <v>AAITBIR  SANBA</v>
          </cell>
          <cell r="D100" t="str">
            <v>31629069002688</v>
          </cell>
          <cell r="E100" t="str">
            <v>0000000562626</v>
          </cell>
          <cell r="F100" t="str">
            <v>00000000945015240105077</v>
          </cell>
          <cell r="G100" t="str">
            <v>C3Pay</v>
          </cell>
          <cell r="H100" t="str">
            <v>WPS</v>
          </cell>
          <cell r="I100" t="str">
            <v>13/06/2024</v>
          </cell>
          <cell r="J100">
            <v>900</v>
          </cell>
        </row>
        <row r="101">
          <cell r="B101" t="str">
            <v>G77</v>
          </cell>
          <cell r="C101" t="str">
            <v>LAXHMESHVAR  KHATWE</v>
          </cell>
          <cell r="D101" t="str">
            <v>31621019563979</v>
          </cell>
          <cell r="E101" t="str">
            <v>0000000562626</v>
          </cell>
          <cell r="F101" t="str">
            <v>00000000945015240133058</v>
          </cell>
          <cell r="G101" t="str">
            <v>C3Pay</v>
          </cell>
          <cell r="H101" t="str">
            <v>WPS</v>
          </cell>
          <cell r="I101" t="str">
            <v>13/06/2024</v>
          </cell>
          <cell r="J101">
            <v>900</v>
          </cell>
        </row>
        <row r="102">
          <cell r="B102" t="str">
            <v>G76</v>
          </cell>
          <cell r="C102" t="str">
            <v>GANGA  KHATWE DEV</v>
          </cell>
          <cell r="D102" t="str">
            <v>31620078460925</v>
          </cell>
          <cell r="E102" t="str">
            <v>0000000562626</v>
          </cell>
          <cell r="F102" t="str">
            <v>00000000945015240133057</v>
          </cell>
          <cell r="G102" t="str">
            <v>C3Pay</v>
          </cell>
          <cell r="H102" t="str">
            <v>WPS</v>
          </cell>
          <cell r="I102" t="str">
            <v>13/06/2024</v>
          </cell>
          <cell r="J102">
            <v>720</v>
          </cell>
        </row>
        <row r="103">
          <cell r="B103" t="str">
            <v>G73</v>
          </cell>
          <cell r="C103" t="str">
            <v>KALURAM  SADA BHUTI MUSHAR</v>
          </cell>
          <cell r="D103" t="str">
            <v>31608119730795</v>
          </cell>
          <cell r="E103" t="str">
            <v>0000000562626</v>
          </cell>
          <cell r="F103" t="str">
            <v>00000000945015240133054</v>
          </cell>
          <cell r="G103" t="str">
            <v>C3Pay</v>
          </cell>
          <cell r="H103" t="str">
            <v>WPS</v>
          </cell>
          <cell r="I103" t="str">
            <v>13/06/2024</v>
          </cell>
          <cell r="J103">
            <v>720</v>
          </cell>
        </row>
        <row r="104">
          <cell r="B104" t="str">
            <v>G72</v>
          </cell>
          <cell r="C104" t="str">
            <v>SHAMBU  CHAMAR</v>
          </cell>
          <cell r="D104" t="str">
            <v>31617048577754</v>
          </cell>
          <cell r="E104" t="str">
            <v>0000000562626</v>
          </cell>
          <cell r="F104" t="str">
            <v>00000000945015240133053</v>
          </cell>
          <cell r="G104" t="str">
            <v>C3Pay</v>
          </cell>
          <cell r="H104" t="str">
            <v>WPS</v>
          </cell>
          <cell r="I104" t="str">
            <v>13/06/2024</v>
          </cell>
          <cell r="J104">
            <v>820</v>
          </cell>
        </row>
        <row r="105">
          <cell r="B105" t="str">
            <v>G67</v>
          </cell>
          <cell r="C105" t="str">
            <v>RAJU  SUNAR</v>
          </cell>
          <cell r="D105" t="str">
            <v>31630128865439</v>
          </cell>
          <cell r="E105" t="str">
            <v>0000000562626</v>
          </cell>
          <cell r="F105" t="str">
            <v>00000000945015240133048</v>
          </cell>
          <cell r="G105" t="str">
            <v>C3Pay</v>
          </cell>
          <cell r="H105" t="str">
            <v>WPS</v>
          </cell>
          <cell r="I105" t="str">
            <v>13/06/2024</v>
          </cell>
          <cell r="J105">
            <v>900</v>
          </cell>
        </row>
        <row r="106">
          <cell r="B106" t="str">
            <v>G81</v>
          </cell>
          <cell r="C106" t="str">
            <v>BHUPNARAYAN  SAH KANU ANUP</v>
          </cell>
          <cell r="D106" t="str">
            <v>31624018968462</v>
          </cell>
          <cell r="E106" t="str">
            <v>0000000562626</v>
          </cell>
          <cell r="F106" t="str">
            <v>00000000945015240133062</v>
          </cell>
          <cell r="G106" t="str">
            <v>C3Pay</v>
          </cell>
          <cell r="H106" t="str">
            <v>WPS</v>
          </cell>
          <cell r="I106" t="str">
            <v>13/06/2024</v>
          </cell>
          <cell r="J106">
            <v>900</v>
          </cell>
        </row>
        <row r="107">
          <cell r="B107" t="str">
            <v>G96</v>
          </cell>
          <cell r="C107" t="str">
            <v>GOVINDA  PRASAD BASNET</v>
          </cell>
          <cell r="D107" t="str">
            <v>31618048222277</v>
          </cell>
          <cell r="E107" t="str">
            <v>0000000562626</v>
          </cell>
          <cell r="F107" t="str">
            <v>00000000945015240133077</v>
          </cell>
          <cell r="G107" t="str">
            <v>C3Pay</v>
          </cell>
          <cell r="H107" t="str">
            <v>WPS</v>
          </cell>
          <cell r="I107" t="str">
            <v>13/06/2024</v>
          </cell>
          <cell r="J107">
            <v>870</v>
          </cell>
        </row>
        <row r="108">
          <cell r="B108" t="str">
            <v>G89</v>
          </cell>
          <cell r="C108" t="str">
            <v>BISHAL  OLI PADAM BAHADUR</v>
          </cell>
          <cell r="D108" t="str">
            <v>31615100001507</v>
          </cell>
          <cell r="E108" t="str">
            <v>0000000562626</v>
          </cell>
          <cell r="F108" t="str">
            <v>00000000945015240133070</v>
          </cell>
          <cell r="G108" t="str">
            <v>C3Pay</v>
          </cell>
          <cell r="H108" t="str">
            <v>WPS</v>
          </cell>
          <cell r="I108" t="str">
            <v>13/06/2024</v>
          </cell>
          <cell r="J108">
            <v>900</v>
          </cell>
        </row>
        <row r="109">
          <cell r="B109" t="str">
            <v>G12</v>
          </cell>
          <cell r="C109" t="str">
            <v>HABIB UR REHMAN  SHER ZAMAN</v>
          </cell>
          <cell r="D109" t="str">
            <v>20002028952005</v>
          </cell>
          <cell r="E109" t="str">
            <v>0000000562626</v>
          </cell>
          <cell r="F109" t="str">
            <v>00000000945015860141702</v>
          </cell>
          <cell r="G109" t="str">
            <v>C3Pay</v>
          </cell>
          <cell r="H109" t="str">
            <v>WPS</v>
          </cell>
          <cell r="I109" t="str">
            <v>13/06/2024</v>
          </cell>
          <cell r="J109">
            <v>373</v>
          </cell>
        </row>
        <row r="110">
          <cell r="B110" t="str">
            <v>G117</v>
          </cell>
          <cell r="C110" t="str">
            <v>SHIV  KUMAR RAY</v>
          </cell>
          <cell r="D110" t="str">
            <v>31616128749309</v>
          </cell>
          <cell r="E110" t="str">
            <v>0000000562626</v>
          </cell>
          <cell r="F110" t="str">
            <v>00000000945015240169344</v>
          </cell>
          <cell r="G110" t="str">
            <v>C3Pay</v>
          </cell>
          <cell r="H110" t="str">
            <v>WPS</v>
          </cell>
          <cell r="I110" t="str">
            <v>13/06/2024</v>
          </cell>
          <cell r="J110">
            <v>900</v>
          </cell>
        </row>
        <row r="111">
          <cell r="B111" t="str">
            <v>G118</v>
          </cell>
          <cell r="C111" t="str">
            <v>SHREE  RAM MANDAL</v>
          </cell>
          <cell r="D111" t="str">
            <v>31630118649433</v>
          </cell>
          <cell r="E111" t="str">
            <v>0000000562626</v>
          </cell>
          <cell r="F111" t="str">
            <v>00000000945015240169345</v>
          </cell>
          <cell r="G111" t="str">
            <v>C3Pay</v>
          </cell>
          <cell r="H111" t="str">
            <v>WPS</v>
          </cell>
          <cell r="I111" t="str">
            <v>13/06/2024</v>
          </cell>
          <cell r="J111">
            <v>900</v>
          </cell>
        </row>
        <row r="112">
          <cell r="B112" t="str">
            <v>G122</v>
          </cell>
          <cell r="C112" t="str">
            <v>NANU  SADA</v>
          </cell>
          <cell r="D112" t="str">
            <v>31626088448949</v>
          </cell>
          <cell r="E112" t="str">
            <v>0000000562626</v>
          </cell>
          <cell r="F112" t="str">
            <v>00000000945015240169349</v>
          </cell>
          <cell r="G112" t="str">
            <v>C3Pay</v>
          </cell>
          <cell r="H112" t="str">
            <v>WPS</v>
          </cell>
          <cell r="I112" t="str">
            <v>13/06/2024</v>
          </cell>
          <cell r="J112">
            <v>840</v>
          </cell>
        </row>
        <row r="113">
          <cell r="B113" t="str">
            <v>G123</v>
          </cell>
          <cell r="C113" t="str">
            <v>PRAMOD  KUMAR MANDAL</v>
          </cell>
          <cell r="D113" t="str">
            <v>31625059321084</v>
          </cell>
          <cell r="E113" t="str">
            <v>0000000562626</v>
          </cell>
          <cell r="F113" t="str">
            <v>00000000945015240169350</v>
          </cell>
          <cell r="G113" t="str">
            <v>C3Pay</v>
          </cell>
          <cell r="H113" t="str">
            <v>WPS</v>
          </cell>
          <cell r="I113" t="str">
            <v>13/06/2024</v>
          </cell>
          <cell r="J113">
            <v>900</v>
          </cell>
        </row>
        <row r="114">
          <cell r="B114" t="str">
            <v>G125</v>
          </cell>
          <cell r="C114" t="str">
            <v>RAM  JIBAN YADAV</v>
          </cell>
          <cell r="D114" t="str">
            <v>31629088997454</v>
          </cell>
          <cell r="E114" t="str">
            <v>0000000562626</v>
          </cell>
          <cell r="F114" t="str">
            <v>00000000945015240169352</v>
          </cell>
          <cell r="G114" t="str">
            <v>C3Pay</v>
          </cell>
          <cell r="H114" t="str">
            <v>WPS</v>
          </cell>
          <cell r="I114" t="str">
            <v>13/06/2024</v>
          </cell>
          <cell r="J114">
            <v>870</v>
          </cell>
        </row>
        <row r="115">
          <cell r="B115" t="str">
            <v>G129</v>
          </cell>
          <cell r="C115" t="str">
            <v>RAM  KISHOR KAPAR</v>
          </cell>
          <cell r="D115" t="str">
            <v>31622089748785</v>
          </cell>
          <cell r="E115" t="str">
            <v>0000000562626</v>
          </cell>
          <cell r="F115" t="str">
            <v>00000000945015240169356</v>
          </cell>
          <cell r="G115" t="str">
            <v>C3Pay</v>
          </cell>
          <cell r="H115" t="str">
            <v>WPS</v>
          </cell>
          <cell r="I115" t="str">
            <v>13/06/2024</v>
          </cell>
          <cell r="J115">
            <v>900</v>
          </cell>
        </row>
        <row r="116">
          <cell r="B116" t="str">
            <v>G115</v>
          </cell>
          <cell r="C116" t="str">
            <v>SHIV  KUMAR  MOCHI</v>
          </cell>
          <cell r="D116" t="str">
            <v>31615048320755</v>
          </cell>
          <cell r="E116" t="str">
            <v>0000000562626</v>
          </cell>
          <cell r="F116" t="str">
            <v>00000000945015240169342</v>
          </cell>
          <cell r="G116" t="str">
            <v>C3Pay</v>
          </cell>
          <cell r="H116" t="str">
            <v>WPS</v>
          </cell>
          <cell r="I116" t="str">
            <v>13/06/2024</v>
          </cell>
          <cell r="J116">
            <v>900</v>
          </cell>
        </row>
        <row r="117">
          <cell r="B117" t="str">
            <v>G132</v>
          </cell>
          <cell r="C117" t="str">
            <v>SHIV  CHANDRA YADAV</v>
          </cell>
          <cell r="D117" t="str">
            <v>31603059149418</v>
          </cell>
          <cell r="E117" t="str">
            <v>0000000562626</v>
          </cell>
          <cell r="F117" t="str">
            <v>00000000945015240169359</v>
          </cell>
          <cell r="G117" t="str">
            <v>C3Pay</v>
          </cell>
          <cell r="H117" t="str">
            <v>WPS</v>
          </cell>
          <cell r="I117" t="str">
            <v>13/06/2024</v>
          </cell>
          <cell r="J117">
            <v>900</v>
          </cell>
        </row>
        <row r="118">
          <cell r="B118" t="str">
            <v>G145</v>
          </cell>
          <cell r="C118" t="str">
            <v>JIBAN KUMAR  THAKUR</v>
          </cell>
          <cell r="D118" t="str">
            <v>31601098746165</v>
          </cell>
          <cell r="E118" t="str">
            <v>0000000562626</v>
          </cell>
          <cell r="F118" t="str">
            <v>00000000945015240188290</v>
          </cell>
          <cell r="G118" t="str">
            <v>C3Pay</v>
          </cell>
          <cell r="H118" t="str">
            <v>WPS</v>
          </cell>
          <cell r="I118" t="str">
            <v>13/06/2024</v>
          </cell>
          <cell r="J118">
            <v>900</v>
          </cell>
        </row>
        <row r="119">
          <cell r="B119" t="str">
            <v>G138</v>
          </cell>
          <cell r="C119" t="str">
            <v>PANKAJ KUMAR  MOCHI</v>
          </cell>
          <cell r="D119" t="str">
            <v>31605079412039</v>
          </cell>
          <cell r="E119" t="str">
            <v>0000000562626</v>
          </cell>
          <cell r="F119" t="str">
            <v>00000000945015240188283</v>
          </cell>
          <cell r="G119" t="str">
            <v>C3Pay</v>
          </cell>
          <cell r="H119" t="str">
            <v>WPS</v>
          </cell>
          <cell r="I119" t="str">
            <v>13/06/2024</v>
          </cell>
          <cell r="J119">
            <v>900</v>
          </cell>
        </row>
        <row r="120">
          <cell r="B120" t="str">
            <v>G134</v>
          </cell>
          <cell r="C120" t="str">
            <v>DIPENDRA RAY  YADAV PREM CHANDRA RAY</v>
          </cell>
          <cell r="D120" t="str">
            <v>31608099560652</v>
          </cell>
          <cell r="E120" t="str">
            <v>0000000562626</v>
          </cell>
          <cell r="F120" t="str">
            <v>00000000945015240188279</v>
          </cell>
          <cell r="G120" t="str">
            <v>C3Pay</v>
          </cell>
          <cell r="H120" t="str">
            <v>WPS</v>
          </cell>
          <cell r="I120" t="str">
            <v>13/06/2024</v>
          </cell>
          <cell r="J120">
            <v>870</v>
          </cell>
        </row>
        <row r="121">
          <cell r="B121" t="str">
            <v>G148</v>
          </cell>
          <cell r="C121" t="str">
            <v>SUNDAR KUMAR  SADAY ANESIYA</v>
          </cell>
          <cell r="D121" t="str">
            <v>31626129343502</v>
          </cell>
          <cell r="E121" t="str">
            <v>0000000562626</v>
          </cell>
          <cell r="F121" t="str">
            <v>00000000945625240210754</v>
          </cell>
          <cell r="G121" t="str">
            <v>C3Pay</v>
          </cell>
          <cell r="H121" t="str">
            <v>WPS</v>
          </cell>
          <cell r="I121" t="str">
            <v>13/06/2024</v>
          </cell>
          <cell r="J121">
            <v>900</v>
          </cell>
        </row>
        <row r="122">
          <cell r="B122" t="str">
            <v>G162</v>
          </cell>
          <cell r="C122" t="str">
            <v>ASIS KHATWE  JANG BAHADUR KHATWE</v>
          </cell>
          <cell r="D122" t="str">
            <v>31610078882989</v>
          </cell>
          <cell r="E122" t="str">
            <v>0000000562626</v>
          </cell>
          <cell r="F122" t="str">
            <v>00000000945625240210768</v>
          </cell>
          <cell r="G122" t="str">
            <v>C3Pay</v>
          </cell>
          <cell r="H122" t="str">
            <v>WPS</v>
          </cell>
          <cell r="I122" t="str">
            <v>13/06/2024</v>
          </cell>
          <cell r="J122">
            <v>900</v>
          </cell>
        </row>
        <row r="123">
          <cell r="B123" t="str">
            <v>G161</v>
          </cell>
          <cell r="C123" t="str">
            <v>KUMAR BISHWAKARMA  SAHAMAN BISHWAKARMA</v>
          </cell>
          <cell r="D123" t="str">
            <v>31614078369259</v>
          </cell>
          <cell r="E123" t="str">
            <v>0000000562626</v>
          </cell>
          <cell r="F123" t="str">
            <v>00000000945625240210767</v>
          </cell>
          <cell r="G123" t="str">
            <v>C3Pay</v>
          </cell>
          <cell r="H123" t="str">
            <v>WPS</v>
          </cell>
          <cell r="I123" t="str">
            <v>13/06/2024</v>
          </cell>
          <cell r="J123">
            <v>900</v>
          </cell>
        </row>
        <row r="124">
          <cell r="B124" t="str">
            <v>G155</v>
          </cell>
          <cell r="C124" t="str">
            <v>SUNIL KUMAR YADAV  RAMA TARAIT</v>
          </cell>
          <cell r="D124" t="str">
            <v>31626099539616</v>
          </cell>
          <cell r="E124" t="str">
            <v>0000000562626</v>
          </cell>
          <cell r="F124" t="str">
            <v>00000000945625240210761</v>
          </cell>
          <cell r="G124" t="str">
            <v>C3Pay</v>
          </cell>
          <cell r="H124" t="str">
            <v>WPS</v>
          </cell>
          <cell r="I124" t="str">
            <v>13/06/2024</v>
          </cell>
          <cell r="J124">
            <v>900</v>
          </cell>
        </row>
        <row r="125">
          <cell r="B125" t="str">
            <v>G152</v>
          </cell>
          <cell r="C125" t="str">
            <v>DHANBIR MANDAL  BILTU MANDAL</v>
          </cell>
          <cell r="D125" t="str">
            <v>31626079944414</v>
          </cell>
          <cell r="E125" t="str">
            <v>0000000562626</v>
          </cell>
          <cell r="F125" t="str">
            <v>00000000945625240210758</v>
          </cell>
          <cell r="G125" t="str">
            <v>C3Pay</v>
          </cell>
          <cell r="H125" t="str">
            <v>WPS</v>
          </cell>
          <cell r="I125" t="str">
            <v>13/06/2024</v>
          </cell>
          <cell r="J125">
            <v>870</v>
          </cell>
        </row>
        <row r="126">
          <cell r="B126" t="str">
            <v>G151</v>
          </cell>
          <cell r="C126" t="str">
            <v>GANESH RAI  KUL BAHADUR RAI</v>
          </cell>
          <cell r="D126" t="str">
            <v>31610038391231</v>
          </cell>
          <cell r="E126" t="str">
            <v>0000000562626</v>
          </cell>
          <cell r="F126" t="str">
            <v>00000000945625240210757</v>
          </cell>
          <cell r="G126" t="str">
            <v>C3Pay</v>
          </cell>
          <cell r="H126" t="str">
            <v>WPS</v>
          </cell>
          <cell r="I126" t="str">
            <v>13/06/2024</v>
          </cell>
          <cell r="J126">
            <v>900</v>
          </cell>
        </row>
        <row r="127">
          <cell r="B127" t="str">
            <v>G168</v>
          </cell>
          <cell r="C127" t="str">
            <v>MUKESH SADA  RAM EKBAL SADA</v>
          </cell>
          <cell r="D127" t="str">
            <v>31630039146837</v>
          </cell>
          <cell r="E127" t="str">
            <v>0000000562626</v>
          </cell>
          <cell r="F127" t="str">
            <v>00000000945015240239981</v>
          </cell>
          <cell r="G127" t="str">
            <v>C3Pay</v>
          </cell>
          <cell r="H127" t="str">
            <v>WPS</v>
          </cell>
          <cell r="I127" t="str">
            <v>13/06/2024</v>
          </cell>
          <cell r="J127">
            <v>900</v>
          </cell>
        </row>
        <row r="128">
          <cell r="B128" t="str">
            <v>G171</v>
          </cell>
          <cell r="C128" t="str">
            <v>JIREKHAN MAJHI  MUSHAR RAMBILAS MAJHI</v>
          </cell>
          <cell r="D128" t="str">
            <v>31631038874374</v>
          </cell>
          <cell r="E128" t="str">
            <v>0000000562626</v>
          </cell>
          <cell r="F128" t="str">
            <v>00000000945015240239985</v>
          </cell>
          <cell r="G128" t="str">
            <v>C3Pay</v>
          </cell>
          <cell r="H128" t="str">
            <v>WPS</v>
          </cell>
          <cell r="I128" t="str">
            <v>13/06/2024</v>
          </cell>
          <cell r="J128">
            <v>900</v>
          </cell>
        </row>
        <row r="129">
          <cell r="B129" t="str">
            <v>G172</v>
          </cell>
          <cell r="C129" t="str">
            <v>BASU SADA  GUNTEN SADA MUSHAR</v>
          </cell>
          <cell r="D129" t="str">
            <v>31628048338091</v>
          </cell>
          <cell r="E129" t="str">
            <v>0000000562626</v>
          </cell>
          <cell r="F129" t="str">
            <v>00000000945015240239986</v>
          </cell>
          <cell r="G129" t="str">
            <v>C3Pay</v>
          </cell>
          <cell r="H129" t="str">
            <v>WPS</v>
          </cell>
          <cell r="I129" t="str">
            <v>13/06/2024</v>
          </cell>
          <cell r="J129">
            <v>900</v>
          </cell>
        </row>
        <row r="130">
          <cell r="B130" t="str">
            <v>G173</v>
          </cell>
          <cell r="C130" t="str">
            <v>JOGENDRA YADAV  RAMPRIT YADAV</v>
          </cell>
          <cell r="D130" t="str">
            <v>31608098374070</v>
          </cell>
          <cell r="E130" t="str">
            <v>0000000562626</v>
          </cell>
          <cell r="F130" t="str">
            <v>00000000945015240256039</v>
          </cell>
          <cell r="G130" t="str">
            <v>C3Pay</v>
          </cell>
          <cell r="H130" t="str">
            <v>WPS</v>
          </cell>
          <cell r="I130" t="str">
            <v>13/06/2024</v>
          </cell>
          <cell r="J130">
            <v>870</v>
          </cell>
        </row>
        <row r="131">
          <cell r="B131" t="str">
            <v>G175</v>
          </cell>
          <cell r="C131" t="str">
            <v>BHUBAN B K  SETE KAMI</v>
          </cell>
          <cell r="D131" t="str">
            <v>31601059204557</v>
          </cell>
          <cell r="E131" t="str">
            <v>0000000562626</v>
          </cell>
          <cell r="F131" t="str">
            <v>00000000945015240256041</v>
          </cell>
          <cell r="G131" t="str">
            <v>C3Pay</v>
          </cell>
          <cell r="H131" t="str">
            <v>WPS</v>
          </cell>
          <cell r="I131" t="str">
            <v>13/06/2024</v>
          </cell>
          <cell r="J131">
            <v>360</v>
          </cell>
        </row>
        <row r="132">
          <cell r="B132" t="str">
            <v>G176</v>
          </cell>
          <cell r="C132" t="str">
            <v>GURU SHARAN  MAHATO</v>
          </cell>
          <cell r="D132" t="str">
            <v>31610080204701</v>
          </cell>
          <cell r="E132" t="str">
            <v>0000000562626</v>
          </cell>
          <cell r="F132" t="str">
            <v>00000000945015240256042</v>
          </cell>
          <cell r="G132" t="str">
            <v>C3Pay</v>
          </cell>
          <cell r="H132" t="str">
            <v>WPS</v>
          </cell>
          <cell r="I132" t="str">
            <v>13/06/2024</v>
          </cell>
          <cell r="J132">
            <v>360</v>
          </cell>
        </row>
        <row r="133">
          <cell r="B133" t="str">
            <v>G177</v>
          </cell>
          <cell r="C133" t="str">
            <v>AMINDRA MAJHI  MUSHAR</v>
          </cell>
          <cell r="D133" t="str">
            <v>31628049197358</v>
          </cell>
          <cell r="E133" t="str">
            <v>0000000562626</v>
          </cell>
          <cell r="F133" t="str">
            <v>00000000945015240256043</v>
          </cell>
          <cell r="G133" t="str">
            <v>C3Pay</v>
          </cell>
          <cell r="H133" t="str">
            <v>WPS</v>
          </cell>
          <cell r="I133" t="str">
            <v>13/06/2024</v>
          </cell>
          <cell r="J133">
            <v>720</v>
          </cell>
        </row>
        <row r="134">
          <cell r="B134" t="str">
            <v>G178</v>
          </cell>
          <cell r="C134" t="str">
            <v>PRAMOD SAHNI  RAUDI SAHNI</v>
          </cell>
          <cell r="D134" t="str">
            <v>31622049302568</v>
          </cell>
          <cell r="E134" t="str">
            <v>0000000562626</v>
          </cell>
          <cell r="F134" t="str">
            <v>00000000945015240256044</v>
          </cell>
          <cell r="G134" t="str">
            <v>C3Pay</v>
          </cell>
          <cell r="H134" t="str">
            <v>WPS</v>
          </cell>
          <cell r="I134" t="str">
            <v>13/06/2024</v>
          </cell>
          <cell r="J134">
            <v>900</v>
          </cell>
        </row>
        <row r="135">
          <cell r="B135" t="str">
            <v>G180</v>
          </cell>
          <cell r="C135" t="str">
            <v>SUMAN B K  SETE KAMI</v>
          </cell>
          <cell r="D135" t="str">
            <v>31604089802369</v>
          </cell>
          <cell r="E135" t="str">
            <v>0000000562626</v>
          </cell>
          <cell r="F135" t="str">
            <v>00000000945015240256046</v>
          </cell>
          <cell r="G135" t="str">
            <v>C3Pay</v>
          </cell>
          <cell r="H135" t="str">
            <v>WPS</v>
          </cell>
          <cell r="I135" t="str">
            <v>13/06/2024</v>
          </cell>
          <cell r="J135">
            <v>300</v>
          </cell>
        </row>
        <row r="136">
          <cell r="B136" t="str">
            <v>G182</v>
          </cell>
          <cell r="C136" t="str">
            <v>RAJARAM SADA  INDRE SADA</v>
          </cell>
          <cell r="D136" t="str">
            <v>31601019496231</v>
          </cell>
          <cell r="E136" t="str">
            <v>0000000562626</v>
          </cell>
          <cell r="F136" t="str">
            <v>00000000945015240256048</v>
          </cell>
          <cell r="G136" t="str">
            <v>C3Pay</v>
          </cell>
          <cell r="H136" t="str">
            <v>WPS</v>
          </cell>
          <cell r="I136" t="str">
            <v>13/06/2024</v>
          </cell>
          <cell r="J136">
            <v>900</v>
          </cell>
        </row>
        <row r="137">
          <cell r="B137" t="str">
            <v>G183</v>
          </cell>
          <cell r="C137" t="str">
            <v>RAM KUMAR MAHARA  SAUKHIYA CHAMAR</v>
          </cell>
          <cell r="D137" t="str">
            <v>31624018339650</v>
          </cell>
          <cell r="E137" t="str">
            <v>0000000562626</v>
          </cell>
          <cell r="F137" t="str">
            <v>00000000945015240256049</v>
          </cell>
          <cell r="G137" t="str">
            <v>C3Pay</v>
          </cell>
          <cell r="H137" t="str">
            <v>WPS</v>
          </cell>
          <cell r="I137" t="str">
            <v>13/06/2024</v>
          </cell>
          <cell r="J137">
            <v>720</v>
          </cell>
        </row>
        <row r="138">
          <cell r="B138" t="str">
            <v>G184</v>
          </cell>
          <cell r="C138" t="str">
            <v>INDRA PAIJA PUN  KHUMBAHADUR PAIJA PUN</v>
          </cell>
          <cell r="D138" t="str">
            <v>31622069215442</v>
          </cell>
          <cell r="E138" t="str">
            <v>0000000562626</v>
          </cell>
          <cell r="F138" t="str">
            <v>00000000945015240265484</v>
          </cell>
          <cell r="G138" t="str">
            <v>C3Pay</v>
          </cell>
          <cell r="H138" t="str">
            <v>WPS</v>
          </cell>
          <cell r="I138" t="str">
            <v>13/06/2024</v>
          </cell>
          <cell r="J138">
            <v>900</v>
          </cell>
        </row>
        <row r="139">
          <cell r="B139" t="str">
            <v>G185</v>
          </cell>
          <cell r="C139" t="str">
            <v>DEBU PUN  JIM BAHADUR PUN</v>
          </cell>
          <cell r="D139" t="str">
            <v>31630129615894</v>
          </cell>
          <cell r="E139" t="str">
            <v>0000000562626</v>
          </cell>
          <cell r="F139" t="str">
            <v>00000000945015240265485</v>
          </cell>
          <cell r="G139" t="str">
            <v>C3Pay</v>
          </cell>
          <cell r="H139" t="str">
            <v>WPS</v>
          </cell>
          <cell r="I139" t="str">
            <v>13/06/2024</v>
          </cell>
          <cell r="J139">
            <v>720</v>
          </cell>
        </row>
        <row r="140">
          <cell r="B140" t="str">
            <v>G188</v>
          </cell>
          <cell r="C140" t="str">
            <v>ANAMOL BK  CHHABILAL BK</v>
          </cell>
          <cell r="D140" t="str">
            <v>31628040216295</v>
          </cell>
          <cell r="E140" t="str">
            <v>0000000562626</v>
          </cell>
          <cell r="F140" t="str">
            <v>00000000945015240265488</v>
          </cell>
          <cell r="G140" t="str">
            <v>C3Pay</v>
          </cell>
          <cell r="H140" t="str">
            <v>WPS</v>
          </cell>
          <cell r="I140" t="str">
            <v>13/06/2024</v>
          </cell>
          <cell r="J140">
            <v>720</v>
          </cell>
        </row>
        <row r="141">
          <cell r="B141" t="str">
            <v>G190</v>
          </cell>
          <cell r="C141" t="str">
            <v>MD RAIHAN  MD MANJO MIAH</v>
          </cell>
          <cell r="D141" t="str">
            <v>30101050377348</v>
          </cell>
          <cell r="E141" t="str">
            <v>0000000562626</v>
          </cell>
          <cell r="F141" t="str">
            <v>00000000945010500325347</v>
          </cell>
          <cell r="G141" t="str">
            <v>C3Pay</v>
          </cell>
          <cell r="H141" t="str">
            <v>WPS</v>
          </cell>
          <cell r="I141" t="str">
            <v>13/06/2024</v>
          </cell>
          <cell r="J141">
            <v>677</v>
          </cell>
        </row>
        <row r="142">
          <cell r="B142" t="str">
            <v>G191</v>
          </cell>
          <cell r="C142" t="str">
            <v>SHAJU MIAH  MD MAHMUD ALI</v>
          </cell>
          <cell r="D142" t="str">
            <v>30104069277388</v>
          </cell>
          <cell r="E142" t="str">
            <v>0000000562626</v>
          </cell>
          <cell r="F142" t="str">
            <v>00000000945010500325348</v>
          </cell>
          <cell r="G142" t="str">
            <v>C3Pay</v>
          </cell>
          <cell r="H142" t="str">
            <v>WPS</v>
          </cell>
          <cell r="I142" t="str">
            <v>13/06/2024</v>
          </cell>
          <cell r="J142">
            <v>700</v>
          </cell>
        </row>
        <row r="143">
          <cell r="B143" t="str">
            <v>G192</v>
          </cell>
          <cell r="C143" t="str">
            <v>ABUL BASHER  ABDUL MUNAF</v>
          </cell>
          <cell r="D143" t="str">
            <v>30110038477238</v>
          </cell>
          <cell r="E143" t="str">
            <v>0000000562626</v>
          </cell>
          <cell r="F143" t="str">
            <v>00000000945010500325349</v>
          </cell>
          <cell r="G143" t="str">
            <v>C3Pay</v>
          </cell>
          <cell r="H143" t="str">
            <v>WPS</v>
          </cell>
          <cell r="I143" t="str">
            <v>13/06/2024</v>
          </cell>
          <cell r="J143">
            <v>653</v>
          </cell>
        </row>
        <row r="144">
          <cell r="B144" t="str">
            <v>G193</v>
          </cell>
          <cell r="C144" t="str">
            <v>SHAFIQ MIAH  FORID MEAH</v>
          </cell>
          <cell r="D144" t="str">
            <v>30103079477326</v>
          </cell>
          <cell r="E144" t="str">
            <v>0000000562626</v>
          </cell>
          <cell r="F144" t="str">
            <v>00000000945010500325350</v>
          </cell>
          <cell r="G144" t="str">
            <v>C3Pay</v>
          </cell>
          <cell r="H144" t="str">
            <v>WPS</v>
          </cell>
          <cell r="I144" t="str">
            <v>13/06/2024</v>
          </cell>
          <cell r="J144">
            <v>677</v>
          </cell>
        </row>
        <row r="145">
          <cell r="B145" t="str">
            <v>G194</v>
          </cell>
          <cell r="C145" t="str">
            <v>MD SAKIL KHAN  MD ABUL KASIM</v>
          </cell>
          <cell r="D145" t="str">
            <v>30107039977253</v>
          </cell>
          <cell r="E145" t="str">
            <v>0000000562626</v>
          </cell>
          <cell r="F145" t="str">
            <v>00000000945010500325351</v>
          </cell>
          <cell r="G145" t="str">
            <v>C3Pay</v>
          </cell>
          <cell r="H145" t="str">
            <v>WPS</v>
          </cell>
          <cell r="I145" t="str">
            <v>13/06/2024</v>
          </cell>
          <cell r="J145">
            <v>700</v>
          </cell>
        </row>
        <row r="146">
          <cell r="B146" t="str">
            <v>G199</v>
          </cell>
          <cell r="C146" t="str">
            <v>MD SORIF MIA  MD KALAM MIA</v>
          </cell>
          <cell r="D146" t="str">
            <v>30102080197435</v>
          </cell>
          <cell r="E146" t="str">
            <v>0000000562626</v>
          </cell>
          <cell r="F146" t="str">
            <v>00000000945010500344278</v>
          </cell>
          <cell r="G146" t="str">
            <v>C3Pay</v>
          </cell>
          <cell r="H146" t="str">
            <v>WPS</v>
          </cell>
          <cell r="I146" t="str">
            <v>13/06/2024</v>
          </cell>
          <cell r="J146">
            <v>700</v>
          </cell>
        </row>
        <row r="147">
          <cell r="B147" t="str">
            <v>G202</v>
          </cell>
          <cell r="C147" t="str">
            <v>MD KAMAL MIA  MD ABDUS SALAM</v>
          </cell>
          <cell r="D147" t="str">
            <v>30112018961105</v>
          </cell>
          <cell r="E147" t="str">
            <v>0000000562626</v>
          </cell>
          <cell r="F147" t="str">
            <v>00000000945010500344281</v>
          </cell>
          <cell r="G147" t="str">
            <v>C3Pay</v>
          </cell>
          <cell r="H147" t="str">
            <v>WPS</v>
          </cell>
          <cell r="I147" t="str">
            <v>13/06/2024</v>
          </cell>
          <cell r="J147">
            <v>700</v>
          </cell>
        </row>
        <row r="148">
          <cell r="B148" t="str">
            <v>G205</v>
          </cell>
          <cell r="C148" t="str">
            <v>MD SIFUR ROHMAN  MAMUN FORID MIA</v>
          </cell>
          <cell r="D148" t="str">
            <v>30118049927543</v>
          </cell>
          <cell r="E148" t="str">
            <v>0000000562626</v>
          </cell>
          <cell r="F148" t="str">
            <v>00000000945010500344284</v>
          </cell>
          <cell r="G148" t="str">
            <v>C3Pay</v>
          </cell>
          <cell r="H148" t="str">
            <v>WPS</v>
          </cell>
          <cell r="I148" t="str">
            <v>13/06/2024</v>
          </cell>
          <cell r="J148">
            <v>200</v>
          </cell>
        </row>
        <row r="149">
          <cell r="B149" t="str">
            <v>G206</v>
          </cell>
          <cell r="C149" t="str">
            <v>HASAN MAHMUD  MD ABDUL HAMEED</v>
          </cell>
          <cell r="D149" t="str">
            <v>30120100117848</v>
          </cell>
          <cell r="E149" t="str">
            <v>0000000562626</v>
          </cell>
          <cell r="F149" t="str">
            <v>00000000945010500344285</v>
          </cell>
          <cell r="G149" t="str">
            <v>C3Pay</v>
          </cell>
          <cell r="H149" t="str">
            <v>WPS</v>
          </cell>
          <cell r="I149" t="str">
            <v>13/06/2024</v>
          </cell>
          <cell r="J149">
            <v>700</v>
          </cell>
        </row>
        <row r="150">
          <cell r="B150" t="str">
            <v>G207</v>
          </cell>
          <cell r="C150" t="str">
            <v>MUHAMMAD ULLAH BAS  LARIF</v>
          </cell>
          <cell r="D150" t="str">
            <v>20004038808338</v>
          </cell>
          <cell r="E150" t="str">
            <v>0000000562626</v>
          </cell>
          <cell r="F150" t="str">
            <v>00000000945015860344286</v>
          </cell>
          <cell r="G150" t="str">
            <v>C3Pay</v>
          </cell>
          <cell r="H150" t="str">
            <v>WPS</v>
          </cell>
          <cell r="I150" t="str">
            <v>13/06/2024</v>
          </cell>
          <cell r="J150">
            <v>653</v>
          </cell>
        </row>
        <row r="151">
          <cell r="B151" t="str">
            <v>G210</v>
          </cell>
          <cell r="C151" t="str">
            <v>MD SUMSUL ALOM  MD SUKUR ALI</v>
          </cell>
          <cell r="D151" t="str">
            <v>30115039973195</v>
          </cell>
          <cell r="E151" t="str">
            <v>0000000562626</v>
          </cell>
          <cell r="F151" t="str">
            <v>00000000945010500347070</v>
          </cell>
          <cell r="G151" t="str">
            <v>C3Pay</v>
          </cell>
          <cell r="H151" t="str">
            <v>WPS</v>
          </cell>
          <cell r="I151" t="str">
            <v>13/06/2024</v>
          </cell>
          <cell r="J151">
            <v>700</v>
          </cell>
        </row>
        <row r="152">
          <cell r="B152" t="str">
            <v>G211</v>
          </cell>
          <cell r="C152" t="str">
            <v>NUR ISLAM  SHAHIDUL ISLAM</v>
          </cell>
          <cell r="D152" t="str">
            <v>30112029168601</v>
          </cell>
          <cell r="E152" t="str">
            <v>0000000562626</v>
          </cell>
          <cell r="F152" t="str">
            <v>00000000945620500353089</v>
          </cell>
          <cell r="G152" t="str">
            <v>C3Pay</v>
          </cell>
          <cell r="H152" t="str">
            <v>WPS</v>
          </cell>
          <cell r="I152" t="str">
            <v>13/06/2024</v>
          </cell>
          <cell r="J152">
            <v>700</v>
          </cell>
        </row>
        <row r="153">
          <cell r="B153" t="str">
            <v>G212</v>
          </cell>
          <cell r="C153" t="str">
            <v>TURAN MIAH  ASID MIAH</v>
          </cell>
          <cell r="D153" t="str">
            <v>30110029617871</v>
          </cell>
          <cell r="E153" t="str">
            <v>0000000562626</v>
          </cell>
          <cell r="F153" t="str">
            <v>00000000945620500353090</v>
          </cell>
          <cell r="G153" t="str">
            <v>C3Pay</v>
          </cell>
          <cell r="H153" t="str">
            <v>WPS</v>
          </cell>
          <cell r="I153" t="str">
            <v>13/06/2024</v>
          </cell>
          <cell r="J153">
            <v>700</v>
          </cell>
        </row>
        <row r="154">
          <cell r="B154" t="str">
            <v>G213</v>
          </cell>
          <cell r="C154" t="str">
            <v>MD RAJU AHMED  MD FARUK AHMED</v>
          </cell>
          <cell r="D154" t="str">
            <v>30120119908038</v>
          </cell>
          <cell r="E154" t="str">
            <v>0000000562626</v>
          </cell>
          <cell r="F154" t="str">
            <v>00000000945620500353091</v>
          </cell>
          <cell r="G154" t="str">
            <v>C3Pay</v>
          </cell>
          <cell r="H154" t="str">
            <v>WPS</v>
          </cell>
          <cell r="I154" t="str">
            <v>13/06/2024</v>
          </cell>
          <cell r="J154">
            <v>200</v>
          </cell>
        </row>
        <row r="155">
          <cell r="B155" t="str">
            <v>G208</v>
          </cell>
          <cell r="C155" t="str">
            <v>MOHAMMAD JAKIR HOSSAIN  ABDUL JALIL</v>
          </cell>
          <cell r="D155" t="str">
            <v>30111098833046</v>
          </cell>
          <cell r="E155" t="str">
            <v>0000000562626</v>
          </cell>
          <cell r="F155" t="str">
            <v>00000000945010500392537</v>
          </cell>
          <cell r="G155" t="str">
            <v>C3Pay</v>
          </cell>
          <cell r="H155" t="str">
            <v>WPS</v>
          </cell>
          <cell r="I155" t="str">
            <v>13/06/2024</v>
          </cell>
          <cell r="J155">
            <v>700</v>
          </cell>
        </row>
        <row r="156">
          <cell r="B156" t="str">
            <v>G209</v>
          </cell>
          <cell r="C156" t="str">
            <v>MD AMAN ULLAH  MD SIRAJ UDDIN</v>
          </cell>
          <cell r="D156" t="str">
            <v>30111029536734</v>
          </cell>
          <cell r="E156" t="str">
            <v>0000000562626</v>
          </cell>
          <cell r="F156" t="str">
            <v>00000000945010500392538</v>
          </cell>
          <cell r="G156" t="str">
            <v>C3Pay</v>
          </cell>
          <cell r="H156" t="str">
            <v>WPS</v>
          </cell>
          <cell r="I156" t="str">
            <v>13/06/2024</v>
          </cell>
          <cell r="J156">
            <v>700</v>
          </cell>
        </row>
        <row r="157">
          <cell r="B157" t="str">
            <v>G214</v>
          </cell>
          <cell r="C157" t="str">
            <v>KABIR MD  FUL MIAH</v>
          </cell>
          <cell r="D157" t="str">
            <v>30106068468585</v>
          </cell>
          <cell r="E157" t="str">
            <v>0000000562626</v>
          </cell>
          <cell r="F157" t="str">
            <v>00000000945010500392539</v>
          </cell>
          <cell r="G157" t="str">
            <v>C3Pay</v>
          </cell>
          <cell r="H157" t="str">
            <v>WPS</v>
          </cell>
          <cell r="I157" t="str">
            <v>13/06/2024</v>
          </cell>
          <cell r="J157">
            <v>700</v>
          </cell>
        </row>
        <row r="158">
          <cell r="B158" t="str">
            <v>G215</v>
          </cell>
          <cell r="C158" t="str">
            <v>MD SHIRAJUL ISLAM  HABIBUR HAWLADER</v>
          </cell>
          <cell r="D158" t="str">
            <v>30104088223165</v>
          </cell>
          <cell r="E158" t="str">
            <v>0000000562626</v>
          </cell>
          <cell r="F158" t="str">
            <v>00000000945010500392540</v>
          </cell>
          <cell r="G158" t="str">
            <v>C3Pay</v>
          </cell>
          <cell r="H158" t="str">
            <v>WPS</v>
          </cell>
          <cell r="I158" t="str">
            <v>13/06/2024</v>
          </cell>
          <cell r="J158">
            <v>700</v>
          </cell>
        </row>
        <row r="159">
          <cell r="B159" t="str">
            <v>G217</v>
          </cell>
          <cell r="C159" t="str">
            <v>MUHAMMAD QASIM  MUHAMMAD SHAFIQUE</v>
          </cell>
          <cell r="D159" t="str">
            <v>20001010433982</v>
          </cell>
          <cell r="E159" t="str">
            <v>0000000562626</v>
          </cell>
          <cell r="F159" t="str">
            <v>00000000945015860392542</v>
          </cell>
          <cell r="G159" t="str">
            <v>C3Pay</v>
          </cell>
          <cell r="H159" t="str">
            <v>WPS</v>
          </cell>
          <cell r="I159" t="str">
            <v>13/06/2024</v>
          </cell>
          <cell r="J159">
            <v>900</v>
          </cell>
        </row>
        <row r="160">
          <cell r="B160" t="str">
            <v>G218</v>
          </cell>
          <cell r="C160" t="str">
            <v>MUHAMMAD SARIB  AZEEM</v>
          </cell>
          <cell r="D160" t="str">
            <v>20025120334006</v>
          </cell>
          <cell r="E160" t="str">
            <v>0000000562626</v>
          </cell>
          <cell r="F160" t="str">
            <v>00000000945015860406547</v>
          </cell>
          <cell r="G160" t="str">
            <v>C3Pay</v>
          </cell>
          <cell r="H160" t="str">
            <v>WPS</v>
          </cell>
          <cell r="I160" t="str">
            <v>13/06/2024</v>
          </cell>
          <cell r="J160">
            <v>690</v>
          </cell>
        </row>
        <row r="161">
          <cell r="B161" t="str">
            <v>G219</v>
          </cell>
          <cell r="C161" t="str">
            <v>ALI RAZA  MUHAMMAD SABIR</v>
          </cell>
          <cell r="D161" t="str">
            <v>20022109373651</v>
          </cell>
          <cell r="E161" t="str">
            <v>0000000562626</v>
          </cell>
          <cell r="F161" t="str">
            <v>00000000945015860458954</v>
          </cell>
          <cell r="G161" t="str">
            <v>C3Pay</v>
          </cell>
          <cell r="H161" t="str">
            <v>WPS</v>
          </cell>
          <cell r="I161" t="str">
            <v>13/06/2024</v>
          </cell>
          <cell r="J161">
            <v>900</v>
          </cell>
        </row>
        <row r="162">
          <cell r="B162" t="str">
            <v>G221</v>
          </cell>
          <cell r="C162" t="str">
            <v>AAMIR HUSSAIN  MUHAMMAD ASLAM</v>
          </cell>
          <cell r="D162" t="str">
            <v>20001018954592</v>
          </cell>
          <cell r="E162" t="str">
            <v>0000000562626</v>
          </cell>
          <cell r="F162" t="str">
            <v>00000000945015860458956</v>
          </cell>
          <cell r="G162" t="str">
            <v>C3Pay</v>
          </cell>
          <cell r="H162" t="str">
            <v>WPS</v>
          </cell>
          <cell r="I162" t="str">
            <v>13/06/2024</v>
          </cell>
          <cell r="J162">
            <v>870</v>
          </cell>
        </row>
        <row r="163">
          <cell r="B163" t="str">
            <v>G222</v>
          </cell>
          <cell r="C163" t="str">
            <v>RASHID MAQBOOL  MAQBOOL AHMAD</v>
          </cell>
          <cell r="D163" t="str">
            <v>20028089869466</v>
          </cell>
          <cell r="E163" t="str">
            <v>0000000562626</v>
          </cell>
          <cell r="F163" t="str">
            <v>00000000945015860458957</v>
          </cell>
          <cell r="G163" t="str">
            <v>C3Pay</v>
          </cell>
          <cell r="H163" t="str">
            <v>WPS</v>
          </cell>
          <cell r="I163" t="str">
            <v>13/06/2024</v>
          </cell>
          <cell r="J163">
            <v>570</v>
          </cell>
        </row>
        <row r="164">
          <cell r="B164" t="str">
            <v>G223</v>
          </cell>
          <cell r="C164" t="str">
            <v>JAZIB ALI  MUHAMMAD ASLAM</v>
          </cell>
          <cell r="D164" t="str">
            <v>20001129968354</v>
          </cell>
          <cell r="E164" t="str">
            <v>0000000562626</v>
          </cell>
          <cell r="F164" t="str">
            <v>00000000945015860458958</v>
          </cell>
          <cell r="G164" t="str">
            <v>C3Pay</v>
          </cell>
          <cell r="H164" t="str">
            <v>WPS</v>
          </cell>
          <cell r="I164" t="str">
            <v>13/06/2024</v>
          </cell>
          <cell r="J164">
            <v>537</v>
          </cell>
        </row>
        <row r="165">
          <cell r="B165" t="str">
            <v>G224</v>
          </cell>
          <cell r="C165" t="str">
            <v>ZAIN HAYYAT  NUSRAT HAYYAT</v>
          </cell>
          <cell r="D165" t="str">
            <v>20001100153707</v>
          </cell>
          <cell r="E165" t="str">
            <v>0000000562626</v>
          </cell>
          <cell r="F165" t="str">
            <v>00000000945015860458959</v>
          </cell>
          <cell r="G165" t="str">
            <v>C3Pay</v>
          </cell>
          <cell r="H165" t="str">
            <v>WPS</v>
          </cell>
          <cell r="I165" t="str">
            <v>13/06/2024</v>
          </cell>
          <cell r="J165">
            <v>373</v>
          </cell>
        </row>
        <row r="166">
          <cell r="B166" t="str">
            <v>G225</v>
          </cell>
          <cell r="C166" t="str">
            <v>FAIYAJ ALAM KUDDUS  HAJAM MIYAN</v>
          </cell>
          <cell r="D166" t="str">
            <v>10001019686016</v>
          </cell>
          <cell r="E166" t="str">
            <v>0000000562626</v>
          </cell>
          <cell r="F166" t="str">
            <v>00000000945013560458960</v>
          </cell>
          <cell r="G166" t="str">
            <v>C3Pay</v>
          </cell>
          <cell r="H166" t="str">
            <v>WPS</v>
          </cell>
          <cell r="I166" t="str">
            <v>13/06/2024</v>
          </cell>
          <cell r="J166">
            <v>700</v>
          </cell>
        </row>
        <row r="167">
          <cell r="B167" t="str">
            <v>G226</v>
          </cell>
          <cell r="C167" t="str">
            <v>SULTAN  HASMUDDIN</v>
          </cell>
          <cell r="D167" t="str">
            <v>10018070385395</v>
          </cell>
          <cell r="E167" t="str">
            <v>0000000562626</v>
          </cell>
          <cell r="F167" t="str">
            <v>00000000945013560458961</v>
          </cell>
          <cell r="G167" t="str">
            <v>C3Pay</v>
          </cell>
          <cell r="H167" t="str">
            <v>WPS</v>
          </cell>
          <cell r="I167" t="str">
            <v>13/06/2024</v>
          </cell>
          <cell r="J167">
            <v>700</v>
          </cell>
        </row>
        <row r="168">
          <cell r="B168" t="str">
            <v>G227</v>
          </cell>
          <cell r="C168" t="str">
            <v>SATTAR  PANGUL</v>
          </cell>
          <cell r="D168" t="str">
            <v>10001010485368</v>
          </cell>
          <cell r="E168" t="str">
            <v>0000000562626</v>
          </cell>
          <cell r="F168" t="str">
            <v>00000000945013560458962</v>
          </cell>
          <cell r="G168" t="str">
            <v>C3Pay</v>
          </cell>
          <cell r="H168" t="str">
            <v>WPS</v>
          </cell>
          <cell r="I168" t="str">
            <v>13/06/2024</v>
          </cell>
          <cell r="J168">
            <v>700</v>
          </cell>
        </row>
        <row r="169">
          <cell r="B169" t="str">
            <v>G228</v>
          </cell>
          <cell r="C169" t="str">
            <v>TASAWAR KHAN  LIBAS GUL</v>
          </cell>
          <cell r="D169" t="str">
            <v>20001039669222</v>
          </cell>
          <cell r="E169" t="str">
            <v>0000000562626</v>
          </cell>
          <cell r="F169" t="str">
            <v>00000000945015860458963</v>
          </cell>
          <cell r="G169" t="str">
            <v>C3Pay</v>
          </cell>
          <cell r="H169" t="str">
            <v>WPS</v>
          </cell>
          <cell r="I169" t="str">
            <v>13/06/2024</v>
          </cell>
          <cell r="J169">
            <v>700</v>
          </cell>
        </row>
        <row r="170">
          <cell r="B170" t="str">
            <v>G229</v>
          </cell>
          <cell r="C170" t="str">
            <v>JAMROZ KHAN  YAD MIR SHAH</v>
          </cell>
          <cell r="D170" t="str">
            <v>20021090168820</v>
          </cell>
          <cell r="E170" t="str">
            <v>0000000562626</v>
          </cell>
          <cell r="F170" t="str">
            <v>00000000945015860458964</v>
          </cell>
          <cell r="G170" t="str">
            <v>C3Pay</v>
          </cell>
          <cell r="H170" t="str">
            <v>WPS</v>
          </cell>
          <cell r="I170" t="str">
            <v>13/06/2024</v>
          </cell>
          <cell r="J170">
            <v>700</v>
          </cell>
        </row>
        <row r="171">
          <cell r="B171" t="str">
            <v>G230</v>
          </cell>
          <cell r="C171" t="str">
            <v>MUHAMMAD FAIZAN  SEAF ULLAH</v>
          </cell>
          <cell r="D171" t="str">
            <v>20001110497536</v>
          </cell>
          <cell r="E171" t="str">
            <v>0000000562626</v>
          </cell>
          <cell r="F171" t="str">
            <v>00000000945015860487721</v>
          </cell>
          <cell r="G171" t="str">
            <v>C3Pay</v>
          </cell>
          <cell r="H171" t="str">
            <v>WPS</v>
          </cell>
          <cell r="I171" t="str">
            <v>13/06/2024</v>
          </cell>
          <cell r="J171">
            <v>700</v>
          </cell>
        </row>
        <row r="172">
          <cell r="B172" t="str">
            <v>G231</v>
          </cell>
          <cell r="C172" t="str">
            <v>USMAN AHMAD  MUHAMMAD RAFIQ</v>
          </cell>
          <cell r="D172" t="str">
            <v>20020030272027</v>
          </cell>
          <cell r="E172" t="str">
            <v>0000000562626</v>
          </cell>
          <cell r="F172" t="str">
            <v>00000000945015860487722</v>
          </cell>
          <cell r="G172" t="str">
            <v>C3Pay</v>
          </cell>
          <cell r="H172" t="str">
            <v>WPS</v>
          </cell>
          <cell r="I172" t="str">
            <v>13/06/2024</v>
          </cell>
          <cell r="J172">
            <v>900</v>
          </cell>
        </row>
        <row r="173">
          <cell r="B173" t="str">
            <v>G233</v>
          </cell>
          <cell r="C173" t="str">
            <v>IRFAN AHMED  MUHAMMAD ILYAS</v>
          </cell>
          <cell r="D173" t="str">
            <v>20001019997532</v>
          </cell>
          <cell r="E173" t="str">
            <v>0000000562626</v>
          </cell>
          <cell r="F173" t="str">
            <v>00000000945015860487724</v>
          </cell>
          <cell r="G173" t="str">
            <v>C3Pay</v>
          </cell>
          <cell r="H173" t="str">
            <v>WPS</v>
          </cell>
          <cell r="I173" t="str">
            <v>13/06/2024</v>
          </cell>
          <cell r="J173">
            <v>397</v>
          </cell>
        </row>
        <row r="174">
          <cell r="B174" t="str">
            <v>G234</v>
          </cell>
          <cell r="C174" t="str">
            <v>AMIR SOHAIL  ADAM KHAN</v>
          </cell>
          <cell r="D174" t="str">
            <v>20001019953643</v>
          </cell>
          <cell r="E174" t="str">
            <v>0000000562626</v>
          </cell>
          <cell r="F174" t="str">
            <v>00000000945015860487725</v>
          </cell>
          <cell r="G174" t="str">
            <v>C3Pay</v>
          </cell>
          <cell r="H174" t="str">
            <v>WPS</v>
          </cell>
          <cell r="I174" t="str">
            <v>13/06/2024</v>
          </cell>
          <cell r="J174">
            <v>653</v>
          </cell>
        </row>
        <row r="175">
          <cell r="B175" t="str">
            <v>G235</v>
          </cell>
          <cell r="C175" t="str">
            <v>USMAN NAJEEB  NAJEEB ULLAH</v>
          </cell>
          <cell r="D175" t="str">
            <v>20010048904399</v>
          </cell>
          <cell r="E175" t="str">
            <v>0000000562626</v>
          </cell>
          <cell r="F175" t="str">
            <v>00000000945015860487726</v>
          </cell>
          <cell r="G175" t="str">
            <v>C3Pay</v>
          </cell>
          <cell r="H175" t="str">
            <v>WPS</v>
          </cell>
          <cell r="I175" t="str">
            <v>13/06/2024</v>
          </cell>
          <cell r="J175">
            <v>373</v>
          </cell>
        </row>
        <row r="176">
          <cell r="B176" t="str">
            <v>G236</v>
          </cell>
          <cell r="C176" t="str">
            <v>ZULQARNAIN  MUHAMMAD HUSSAIN</v>
          </cell>
          <cell r="D176" t="str">
            <v>20010060285397</v>
          </cell>
          <cell r="E176" t="str">
            <v>0000000562626</v>
          </cell>
          <cell r="F176" t="str">
            <v>00000000945015860520798</v>
          </cell>
          <cell r="G176" t="str">
            <v>C3Pay</v>
          </cell>
          <cell r="H176" t="str">
            <v>WPS</v>
          </cell>
          <cell r="I176" t="str">
            <v>13/06/2024</v>
          </cell>
          <cell r="J176">
            <v>700</v>
          </cell>
        </row>
        <row r="177">
          <cell r="B177" t="str">
            <v>G239</v>
          </cell>
          <cell r="C177" t="str">
            <v>RAHMAN ALI  MUHAMMAD KARAM</v>
          </cell>
          <cell r="D177" t="str">
            <v>20001019096797</v>
          </cell>
          <cell r="E177" t="str">
            <v>0000000562626</v>
          </cell>
          <cell r="F177" t="str">
            <v>00000000945015860520801</v>
          </cell>
          <cell r="G177" t="str">
            <v>C3Pay</v>
          </cell>
          <cell r="H177" t="str">
            <v>WPS</v>
          </cell>
          <cell r="I177" t="str">
            <v>13/06/2024</v>
          </cell>
          <cell r="J177">
            <v>397</v>
          </cell>
        </row>
        <row r="178">
          <cell r="B178" t="str">
            <v>G240</v>
          </cell>
          <cell r="C178" t="str">
            <v>MUHAMMAD AHMAD  ASHIQ HUSSAIN</v>
          </cell>
          <cell r="D178" t="str">
            <v>20003129671276</v>
          </cell>
          <cell r="E178" t="str">
            <v>0000000562626</v>
          </cell>
          <cell r="F178" t="str">
            <v>00000000945015860520802</v>
          </cell>
          <cell r="G178" t="str">
            <v>C3Pay</v>
          </cell>
          <cell r="H178" t="str">
            <v>WPS</v>
          </cell>
          <cell r="I178" t="str">
            <v>13/06/2024</v>
          </cell>
          <cell r="J178">
            <v>700</v>
          </cell>
        </row>
        <row r="179">
          <cell r="B179" t="str">
            <v>G243</v>
          </cell>
          <cell r="C179" t="str">
            <v>SHERAZ KHAN  SHER ALI KHAN</v>
          </cell>
          <cell r="D179" t="str">
            <v>20026070276117</v>
          </cell>
          <cell r="E179" t="str">
            <v>0000000562626</v>
          </cell>
          <cell r="F179" t="str">
            <v>00000000945015860644096</v>
          </cell>
          <cell r="G179" t="str">
            <v>C3Pay</v>
          </cell>
          <cell r="H179" t="str">
            <v>WPS</v>
          </cell>
          <cell r="I179" t="str">
            <v>13/06/2024</v>
          </cell>
          <cell r="J179">
            <v>653</v>
          </cell>
        </row>
        <row r="180">
          <cell r="B180" t="str">
            <v>G244</v>
          </cell>
          <cell r="C180" t="str">
            <v>MUHAMMAD RIZWAN  MUHAMMAD JAMIL</v>
          </cell>
          <cell r="D180" t="str">
            <v>20025120294543</v>
          </cell>
          <cell r="E180" t="str">
            <v>0000000562626</v>
          </cell>
          <cell r="F180" t="str">
            <v>00000000945015860648691</v>
          </cell>
          <cell r="G180" t="str">
            <v>C3Pay</v>
          </cell>
          <cell r="H180" t="str">
            <v>WPS</v>
          </cell>
          <cell r="I180" t="str">
            <v>13/06/2024</v>
          </cell>
          <cell r="J180">
            <v>700</v>
          </cell>
        </row>
        <row r="181">
          <cell r="B181" t="str">
            <v>G245</v>
          </cell>
          <cell r="C181" t="str">
            <v>IMAD KHAN  SHEREEN ZADA</v>
          </cell>
          <cell r="D181" t="str">
            <v>20017040430700</v>
          </cell>
          <cell r="E181" t="str">
            <v>0000000562626</v>
          </cell>
          <cell r="F181" t="str">
            <v>00000000945015860648692</v>
          </cell>
          <cell r="G181" t="str">
            <v>C3Pay</v>
          </cell>
          <cell r="H181" t="str">
            <v>WPS</v>
          </cell>
          <cell r="I181" t="str">
            <v>13/06/2024</v>
          </cell>
          <cell r="J181">
            <v>700</v>
          </cell>
        </row>
        <row r="182">
          <cell r="B182" t="str">
            <v>G246</v>
          </cell>
          <cell r="C182" t="str">
            <v>MUNSIF KHAN  SAID ZAMAN</v>
          </cell>
          <cell r="D182" t="str">
            <v>20001010003841</v>
          </cell>
          <cell r="E182" t="str">
            <v>0000000562626</v>
          </cell>
          <cell r="F182" t="str">
            <v>00000000945015860650811</v>
          </cell>
          <cell r="G182" t="str">
            <v>C3Pay</v>
          </cell>
          <cell r="H182" t="str">
            <v>WPS</v>
          </cell>
          <cell r="I182" t="str">
            <v>13/06/2024</v>
          </cell>
          <cell r="J182">
            <v>700</v>
          </cell>
        </row>
        <row r="183">
          <cell r="B183" t="str">
            <v>G82</v>
          </cell>
          <cell r="C183" t="str">
            <v>SONELAL  MUKHIYA BIN NIRAMLA DEVI</v>
          </cell>
          <cell r="D183" t="str">
            <v>31616068416182</v>
          </cell>
          <cell r="E183" t="str">
            <v>0000000562626</v>
          </cell>
          <cell r="F183" t="str">
            <v>00000000945015240133063</v>
          </cell>
          <cell r="G183" t="str">
            <v>C3Pay</v>
          </cell>
          <cell r="H183" t="str">
            <v>WPS</v>
          </cell>
          <cell r="I183" t="str">
            <v>13/06/2024</v>
          </cell>
          <cell r="J183">
            <v>900</v>
          </cell>
        </row>
        <row r="184">
          <cell r="B184" t="str">
            <v>G95</v>
          </cell>
          <cell r="C184" t="str">
            <v>DIPENDRA  YADAV RAJENDRA YADAV</v>
          </cell>
          <cell r="D184" t="str">
            <v>31620078805367</v>
          </cell>
          <cell r="E184" t="str">
            <v>0000000562626</v>
          </cell>
          <cell r="F184" t="str">
            <v>00000000945015240133076</v>
          </cell>
          <cell r="G184" t="str">
            <v>C3Pay</v>
          </cell>
          <cell r="H184" t="str">
            <v>WPS</v>
          </cell>
          <cell r="I184" t="str">
            <v>13/06/2024</v>
          </cell>
          <cell r="J184">
            <v>900</v>
          </cell>
        </row>
        <row r="185">
          <cell r="B185" t="str">
            <v>G97</v>
          </cell>
          <cell r="C185" t="str">
            <v>RAJIB  KUMAR DAS JAMAHIR DAS</v>
          </cell>
          <cell r="D185" t="str">
            <v>31626020020228</v>
          </cell>
          <cell r="E185" t="str">
            <v>0000000562626</v>
          </cell>
          <cell r="F185" t="str">
            <v>00000000945015240169324</v>
          </cell>
          <cell r="G185" t="str">
            <v>C3Pay</v>
          </cell>
          <cell r="H185" t="str">
            <v>WPS</v>
          </cell>
          <cell r="I185" t="str">
            <v>13/06/2024</v>
          </cell>
          <cell r="J185">
            <v>900</v>
          </cell>
        </row>
        <row r="186">
          <cell r="B186" t="str">
            <v>G99</v>
          </cell>
          <cell r="C186" t="str">
            <v>RAM  BAHADUR RAUT DUKHIYA</v>
          </cell>
          <cell r="D186" t="str">
            <v>31606108464433</v>
          </cell>
          <cell r="E186" t="str">
            <v>0000000562626</v>
          </cell>
          <cell r="F186" t="str">
            <v>00000000945015240169326</v>
          </cell>
          <cell r="G186" t="str">
            <v>C3Pay</v>
          </cell>
          <cell r="H186" t="str">
            <v>WPS</v>
          </cell>
          <cell r="I186" t="str">
            <v>13/06/2024</v>
          </cell>
          <cell r="J186">
            <v>900</v>
          </cell>
        </row>
        <row r="187">
          <cell r="B187" t="str">
            <v>G237</v>
          </cell>
          <cell r="C187" t="str">
            <v>WAHEED ULLAH KHAN  NOOR KHAN</v>
          </cell>
          <cell r="D187" t="str">
            <v>20007059704402</v>
          </cell>
          <cell r="E187" t="str">
            <v>0000000562626</v>
          </cell>
          <cell r="F187" t="str">
            <v>00000000945015860520799</v>
          </cell>
          <cell r="G187" t="str">
            <v>C3Pay</v>
          </cell>
          <cell r="H187" t="str">
            <v>WPS</v>
          </cell>
          <cell r="I187" t="str">
            <v>13/06/2024</v>
          </cell>
          <cell r="J187">
            <v>700</v>
          </cell>
        </row>
        <row r="188">
          <cell r="B188" t="str">
            <v>G238</v>
          </cell>
          <cell r="C188" t="str">
            <v>SULIMAN KHAN  ALI BAHADAR</v>
          </cell>
          <cell r="D188" t="str">
            <v>20009010422794</v>
          </cell>
          <cell r="E188" t="str">
            <v>0000000562626</v>
          </cell>
          <cell r="F188" t="str">
            <v>00000000945015860520800</v>
          </cell>
          <cell r="G188" t="str">
            <v>C3Pay</v>
          </cell>
          <cell r="H188" t="str">
            <v>WPS</v>
          </cell>
          <cell r="I188" t="str">
            <v>13/06/2024</v>
          </cell>
          <cell r="J188">
            <v>607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-COLOR CODE"/>
    </sheetNames>
    <sheetDataSet>
      <sheetData sheetId="0">
        <row r="6">
          <cell r="B6">
            <v>75</v>
          </cell>
          <cell r="C6" t="str">
            <v>MUHAMMAD SHAHBAZ</v>
          </cell>
        </row>
        <row r="7">
          <cell r="B7" t="str">
            <v>C071</v>
          </cell>
          <cell r="C7" t="str">
            <v>SEIKH YEASIN RAHAMAN</v>
          </cell>
        </row>
        <row r="8">
          <cell r="B8" t="str">
            <v>G219</v>
          </cell>
          <cell r="C8" t="str">
            <v>ALI RAZA</v>
          </cell>
        </row>
        <row r="9">
          <cell r="B9" t="str">
            <v>G39</v>
          </cell>
          <cell r="C9" t="str">
            <v>AAITIBIR SANBA</v>
          </cell>
        </row>
        <row r="10">
          <cell r="B10" t="str">
            <v>G40</v>
          </cell>
          <cell r="C10" t="str">
            <v>SANJAY MAHATO DHAGAD</v>
          </cell>
        </row>
        <row r="11">
          <cell r="B11">
            <v>234</v>
          </cell>
          <cell r="C11" t="str">
            <v>AZIZAR MD. ROSHAN</v>
          </cell>
        </row>
        <row r="12">
          <cell r="B12">
            <v>603</v>
          </cell>
          <cell r="C12" t="str">
            <v>TOUSEEF ALI</v>
          </cell>
        </row>
        <row r="13">
          <cell r="B13">
            <v>604</v>
          </cell>
          <cell r="C13" t="str">
            <v>IMDAD ALI BHUTO</v>
          </cell>
        </row>
        <row r="14">
          <cell r="B14">
            <v>963</v>
          </cell>
          <cell r="C14" t="str">
            <v>JANAK YADAV</v>
          </cell>
        </row>
        <row r="15">
          <cell r="B15" t="str">
            <v>G218</v>
          </cell>
          <cell r="C15" t="str">
            <v>MUHAMMAD SARIB AZEEM</v>
          </cell>
        </row>
        <row r="16">
          <cell r="B16" t="str">
            <v>G239</v>
          </cell>
          <cell r="C16" t="str">
            <v>RAHMAN ALI MUHAMMAD KARAM</v>
          </cell>
        </row>
        <row r="17">
          <cell r="B17">
            <v>182</v>
          </cell>
          <cell r="C17" t="str">
            <v>HORA MONI MOJMDER ANOWTA KUMARR</v>
          </cell>
        </row>
        <row r="18">
          <cell r="B18">
            <v>213</v>
          </cell>
          <cell r="C18" t="str">
            <v>MUBARAK KALU BHUIYAN</v>
          </cell>
        </row>
        <row r="19">
          <cell r="B19">
            <v>469</v>
          </cell>
          <cell r="C19" t="str">
            <v>LALAN PARSAD</v>
          </cell>
        </row>
        <row r="20">
          <cell r="B20">
            <v>654</v>
          </cell>
          <cell r="C20" t="str">
            <v>RAJNESH SVAMEENADH</v>
          </cell>
        </row>
        <row r="21">
          <cell r="B21">
            <v>670</v>
          </cell>
          <cell r="C21" t="str">
            <v>BIKRAM YADAV</v>
          </cell>
        </row>
        <row r="22">
          <cell r="B22">
            <v>872</v>
          </cell>
          <cell r="C22" t="str">
            <v>SANJIT AVDHMANI</v>
          </cell>
        </row>
        <row r="23">
          <cell r="B23">
            <v>873</v>
          </cell>
          <cell r="C23" t="str">
            <v>KISHOR BAITHA</v>
          </cell>
        </row>
        <row r="24">
          <cell r="B24">
            <v>876</v>
          </cell>
          <cell r="C24" t="str">
            <v>ACHINTA ROY</v>
          </cell>
        </row>
        <row r="25">
          <cell r="B25">
            <v>982</v>
          </cell>
          <cell r="C25" t="str">
            <v>SHAH NAWAZ </v>
          </cell>
        </row>
        <row r="26">
          <cell r="B26" t="str">
            <v>C050</v>
          </cell>
          <cell r="C26" t="str">
            <v>KAWSAR ALI MAJIBUL S</v>
          </cell>
        </row>
        <row r="27">
          <cell r="B27" t="str">
            <v>C070</v>
          </cell>
          <cell r="C27" t="str">
            <v>ABDUL HAI AAHRAHIM SEKH</v>
          </cell>
        </row>
        <row r="28">
          <cell r="B28" t="str">
            <v>G129</v>
          </cell>
          <cell r="C28" t="str">
            <v>RAM KISHOR KAPAR</v>
          </cell>
        </row>
        <row r="29">
          <cell r="B29" t="str">
            <v>G134</v>
          </cell>
          <cell r="C29" t="str">
            <v>DIPENDRA RAY YADAV</v>
          </cell>
        </row>
        <row r="30">
          <cell r="B30" t="str">
            <v>G161</v>
          </cell>
          <cell r="C30" t="str">
            <v>KUMAR BISHWAKARMA SAHAMAN</v>
          </cell>
        </row>
        <row r="31">
          <cell r="B31" t="str">
            <v>G167</v>
          </cell>
          <cell r="C31" t="str">
            <v>RAJ KUMAR SADA</v>
          </cell>
        </row>
        <row r="32">
          <cell r="B32" t="str">
            <v>G178</v>
          </cell>
          <cell r="C32" t="str">
            <v>PRAMOD SAHNI RAUDI SAHNI</v>
          </cell>
        </row>
        <row r="33">
          <cell r="B33" t="str">
            <v>G231</v>
          </cell>
          <cell r="C33" t="str">
            <v>USMAN AHMAD</v>
          </cell>
        </row>
        <row r="34">
          <cell r="B34" t="str">
            <v>G240</v>
          </cell>
          <cell r="C34" t="str">
            <v xml:space="preserve">MUHAMMAD AHMAD </v>
          </cell>
        </row>
        <row r="35">
          <cell r="B35" t="str">
            <v>G244</v>
          </cell>
          <cell r="C35" t="str">
            <v>MUHAMMAD RIZWAN</v>
          </cell>
        </row>
        <row r="36">
          <cell r="B36" t="str">
            <v>G60</v>
          </cell>
          <cell r="C36" t="str">
            <v>MAHINDRA YADAV</v>
          </cell>
        </row>
        <row r="37">
          <cell r="B37" t="str">
            <v>G67</v>
          </cell>
          <cell r="C37" t="str">
            <v>RAJU SUNAR</v>
          </cell>
        </row>
        <row r="38">
          <cell r="B38" t="str">
            <v>C019</v>
          </cell>
          <cell r="C38" t="str">
            <v>ABDUL KATHAR</v>
          </cell>
        </row>
        <row r="39">
          <cell r="B39">
            <v>189</v>
          </cell>
          <cell r="C39" t="str">
            <v>KAMAL ABDUL REHMAN</v>
          </cell>
        </row>
        <row r="40">
          <cell r="B40">
            <v>250</v>
          </cell>
          <cell r="C40" t="str">
            <v>JAKIR HOSSAIN SIRAJ UDDOULA</v>
          </cell>
        </row>
        <row r="41">
          <cell r="B41">
            <v>814</v>
          </cell>
          <cell r="C41" t="str">
            <v>SANJAY KUMAR MANDAL G</v>
          </cell>
        </row>
        <row r="42">
          <cell r="B42">
            <v>836</v>
          </cell>
          <cell r="C42" t="str">
            <v>GIRIJESH GOUTAM</v>
          </cell>
        </row>
        <row r="43">
          <cell r="B43">
            <v>837</v>
          </cell>
          <cell r="C43" t="str">
            <v>RAM LAKHAN</v>
          </cell>
        </row>
        <row r="44">
          <cell r="B44">
            <v>840</v>
          </cell>
          <cell r="C44" t="str">
            <v>BAKSHISH JABBAR</v>
          </cell>
        </row>
        <row r="45">
          <cell r="B45">
            <v>848</v>
          </cell>
          <cell r="C45" t="str">
            <v>DARSHAN AMRIT PAL</v>
          </cell>
        </row>
        <row r="46">
          <cell r="B46">
            <v>849</v>
          </cell>
          <cell r="C46" t="str">
            <v>PARDESHI GURUSARAN</v>
          </cell>
        </row>
        <row r="47">
          <cell r="B47">
            <v>995</v>
          </cell>
          <cell r="C47" t="str">
            <v>MUNAWAR SAEED ANWAR SAID</v>
          </cell>
        </row>
        <row r="48">
          <cell r="B48">
            <v>1035</v>
          </cell>
          <cell r="C48" t="str">
            <v>MAMUN JAYNAL ABEDIN</v>
          </cell>
        </row>
        <row r="49">
          <cell r="B49" t="str">
            <v>G109</v>
          </cell>
          <cell r="C49" t="str">
            <v xml:space="preserve">BISHAMBAR YADAV </v>
          </cell>
        </row>
        <row r="50">
          <cell r="B50" t="str">
            <v>G110</v>
          </cell>
          <cell r="C50" t="str">
            <v>BILTU SADA</v>
          </cell>
        </row>
        <row r="51">
          <cell r="B51" t="str">
            <v>G115</v>
          </cell>
          <cell r="C51" t="str">
            <v>SHIV KUMAR  MOCHI</v>
          </cell>
        </row>
        <row r="52">
          <cell r="B52" t="str">
            <v>G122</v>
          </cell>
          <cell r="C52" t="str">
            <v>NANU SADA</v>
          </cell>
        </row>
        <row r="53">
          <cell r="B53" t="str">
            <v>G138</v>
          </cell>
          <cell r="C53" t="str">
            <v>PANKAJ KUMAR MOCHI</v>
          </cell>
        </row>
        <row r="54">
          <cell r="B54" t="str">
            <v>G209</v>
          </cell>
          <cell r="C54" t="str">
            <v>MD AMAN ULLAH MD SIRAJ UDDIN</v>
          </cell>
        </row>
        <row r="55">
          <cell r="B55" t="str">
            <v>G212</v>
          </cell>
          <cell r="C55" t="str">
            <v>TURAN MIA ASID MIAH</v>
          </cell>
        </row>
        <row r="56">
          <cell r="B56" t="str">
            <v>G214</v>
          </cell>
          <cell r="C56" t="str">
            <v xml:space="preserve">KABIR MD FUL MIAH </v>
          </cell>
        </row>
        <row r="57">
          <cell r="B57" t="str">
            <v>G224</v>
          </cell>
          <cell r="C57" t="str">
            <v>ZAIN HAYYAT</v>
          </cell>
        </row>
        <row r="58">
          <cell r="B58" t="str">
            <v>G236</v>
          </cell>
          <cell r="C58" t="str">
            <v>ZULQARNAIN MUHAMMAD HUSSAIN</v>
          </cell>
        </row>
        <row r="59">
          <cell r="B59">
            <v>845</v>
          </cell>
          <cell r="C59" t="str">
            <v>HARIDWAR CHAUHAN</v>
          </cell>
        </row>
        <row r="60">
          <cell r="B60" t="str">
            <v>C025</v>
          </cell>
          <cell r="C60" t="str">
            <v>NARAJUL SEKH NASIR S</v>
          </cell>
        </row>
        <row r="61">
          <cell r="B61">
            <v>669</v>
          </cell>
          <cell r="C61" t="str">
            <v>MAHENDRA THAPA</v>
          </cell>
        </row>
        <row r="62">
          <cell r="B62">
            <v>693</v>
          </cell>
          <cell r="C62" t="str">
            <v>AMIT KUMAR</v>
          </cell>
        </row>
        <row r="63">
          <cell r="B63">
            <v>695</v>
          </cell>
          <cell r="C63" t="str">
            <v>TEJ BAHADUR RANA</v>
          </cell>
        </row>
        <row r="64">
          <cell r="B64">
            <v>881</v>
          </cell>
          <cell r="C64" t="str">
            <v>SURESH BISTA</v>
          </cell>
        </row>
        <row r="65">
          <cell r="B65">
            <v>894</v>
          </cell>
          <cell r="C65" t="str">
            <v>RAJ KUMAR BAL </v>
          </cell>
        </row>
        <row r="66">
          <cell r="B66" t="str">
            <v>G106</v>
          </cell>
          <cell r="C66" t="str">
            <v>RABINDRA KUMAR MAHARA</v>
          </cell>
        </row>
        <row r="67">
          <cell r="B67" t="str">
            <v>G108</v>
          </cell>
          <cell r="C67" t="str">
            <v>SUNDAR RAM</v>
          </cell>
        </row>
        <row r="68">
          <cell r="B68" t="str">
            <v>G117</v>
          </cell>
          <cell r="C68" t="str">
            <v>SHIV KUMAR RAY</v>
          </cell>
        </row>
        <row r="69">
          <cell r="B69" t="str">
            <v>G118</v>
          </cell>
          <cell r="C69" t="str">
            <v>SHREE RAM MANDAL</v>
          </cell>
        </row>
        <row r="70">
          <cell r="B70" t="str">
            <v>G123</v>
          </cell>
          <cell r="C70" t="str">
            <v xml:space="preserve">PRAMOD KUMAR MANDAL </v>
          </cell>
        </row>
        <row r="71">
          <cell r="B71" t="str">
            <v>G126</v>
          </cell>
          <cell r="C71" t="str">
            <v>DINESH KUMAR YADAV</v>
          </cell>
        </row>
        <row r="72">
          <cell r="B72" t="str">
            <v>G132</v>
          </cell>
          <cell r="C72" t="str">
            <v xml:space="preserve">SHIV CHANDRA YADAV </v>
          </cell>
        </row>
        <row r="73">
          <cell r="B73" t="str">
            <v>G145</v>
          </cell>
          <cell r="C73" t="str">
            <v>JIBAN KUMAR THAKUR</v>
          </cell>
        </row>
        <row r="74">
          <cell r="B74" t="str">
            <v>G148</v>
          </cell>
          <cell r="C74" t="str">
            <v>SUNDAR KUMAR SADAY ANESIYA</v>
          </cell>
        </row>
        <row r="75">
          <cell r="B75" t="str">
            <v>G155</v>
          </cell>
          <cell r="C75" t="str">
            <v>SUNIL KUMAR YADAV RAMA TARAIT</v>
          </cell>
        </row>
        <row r="76">
          <cell r="B76" t="str">
            <v>G168</v>
          </cell>
          <cell r="C76" t="str">
            <v>MUKESH SADA</v>
          </cell>
        </row>
        <row r="77">
          <cell r="B77" t="str">
            <v>G172</v>
          </cell>
          <cell r="C77" t="str">
            <v>BASU SADA GUNTEN SADA</v>
          </cell>
        </row>
        <row r="78">
          <cell r="B78" t="str">
            <v>G206</v>
          </cell>
          <cell r="C78" t="str">
            <v>HASAN MAHMUD MD ABDUL HAMEED</v>
          </cell>
        </row>
        <row r="79">
          <cell r="B79" t="str">
            <v>G208</v>
          </cell>
          <cell r="C79" t="str">
            <v>MOHAMMAD JAKIR</v>
          </cell>
        </row>
        <row r="80">
          <cell r="B80" t="str">
            <v>G225</v>
          </cell>
          <cell r="C80" t="str">
            <v>FAYAZ ALAM</v>
          </cell>
        </row>
        <row r="81">
          <cell r="B81" t="str">
            <v>G226</v>
          </cell>
          <cell r="C81" t="str">
            <v>SULTHAN</v>
          </cell>
        </row>
        <row r="82">
          <cell r="B82" t="str">
            <v>G54</v>
          </cell>
          <cell r="C82" t="str">
            <v xml:space="preserve">KUISANG SHERPA PEMBA </v>
          </cell>
        </row>
        <row r="83">
          <cell r="B83" t="str">
            <v>G59</v>
          </cell>
          <cell r="C83" t="str">
            <v>BIPAT PASMAN JOGI PASMAN</v>
          </cell>
        </row>
        <row r="84">
          <cell r="B84" t="str">
            <v>G77</v>
          </cell>
          <cell r="C84" t="str">
            <v>LAXHMESHVAR KHATWE DEV</v>
          </cell>
        </row>
        <row r="85">
          <cell r="B85" t="str">
            <v>G97</v>
          </cell>
          <cell r="C85" t="str">
            <v>RAJIB KUMAR DAS JAMAHIR DAS</v>
          </cell>
        </row>
        <row r="86">
          <cell r="B86">
            <v>484</v>
          </cell>
          <cell r="C86" t="str">
            <v>MD MANSUR ALAM</v>
          </cell>
        </row>
        <row r="87">
          <cell r="B87">
            <v>985</v>
          </cell>
          <cell r="C87" t="str">
            <v>IMRAN MIR KAMAN</v>
          </cell>
        </row>
        <row r="88">
          <cell r="B88" t="str">
            <v>C108</v>
          </cell>
          <cell r="C88" t="str">
            <v>MUHAMMAD KAZIM SHER</v>
          </cell>
        </row>
        <row r="89">
          <cell r="B89" t="str">
            <v>G205</v>
          </cell>
          <cell r="C89" t="str">
            <v>MD SIFUR ROHMAN MAMUN FORID MIA</v>
          </cell>
        </row>
        <row r="90">
          <cell r="B90" t="str">
            <v>G191</v>
          </cell>
          <cell r="C90" t="str">
            <v>SHAJU MIAH MD MAHMUD ALI</v>
          </cell>
        </row>
        <row r="91">
          <cell r="B91">
            <v>821</v>
          </cell>
          <cell r="C91" t="str">
            <v>SHANKAR SINGH</v>
          </cell>
        </row>
        <row r="92">
          <cell r="B92" t="str">
            <v>G152</v>
          </cell>
          <cell r="C92" t="str">
            <v>DHANBIR MANDAL BILTU MANDAL</v>
          </cell>
        </row>
        <row r="93">
          <cell r="B93" t="str">
            <v>G162</v>
          </cell>
          <cell r="C93" t="str">
            <v>ASIS KHATWE JANG BAHADUR KHATWE</v>
          </cell>
        </row>
        <row r="94">
          <cell r="B94" t="str">
            <v>G220</v>
          </cell>
          <cell r="C94" t="str">
            <v>ISRAR SHAH ZAREEN SHAH</v>
          </cell>
        </row>
        <row r="95">
          <cell r="B95">
            <v>1034</v>
          </cell>
          <cell r="C95" t="str">
            <v>RAFIQUL SHORIF KUBAD</v>
          </cell>
        </row>
        <row r="96">
          <cell r="B96">
            <v>1055</v>
          </cell>
          <cell r="C96" t="str">
            <v>KAMALUDDIN AFILUDDIN</v>
          </cell>
        </row>
        <row r="97">
          <cell r="B97">
            <v>777</v>
          </cell>
          <cell r="C97" t="str">
            <v>JAYRAM MUKHRAN</v>
          </cell>
        </row>
        <row r="98">
          <cell r="B98" t="str">
            <v>G221</v>
          </cell>
          <cell r="C98" t="str">
            <v>AMEER HUSSAIN MUHAMMAD ASLAM</v>
          </cell>
        </row>
        <row r="99">
          <cell r="B99" t="str">
            <v>C042</v>
          </cell>
          <cell r="C99" t="str">
            <v xml:space="preserve">MUHAMMAD KAMIL ABDUL </v>
          </cell>
        </row>
        <row r="100">
          <cell r="B100">
            <v>883</v>
          </cell>
          <cell r="C100" t="str">
            <v xml:space="preserve">AHAMD ANSARI ATABUL </v>
          </cell>
        </row>
        <row r="101">
          <cell r="B101">
            <v>2174</v>
          </cell>
          <cell r="C101" t="str">
            <v xml:space="preserve">MUHAMMAD SHAKIR MUHAMMAD </v>
          </cell>
        </row>
        <row r="102">
          <cell r="B102" t="str">
            <v> G20</v>
          </cell>
          <cell r="C102" t="str">
            <v>MANOJ KUMAR YADAV</v>
          </cell>
        </row>
        <row r="103">
          <cell r="B103" t="str">
            <v>C056</v>
          </cell>
          <cell r="C103" t="str">
            <v>SAID AHMED QURESHI</v>
          </cell>
        </row>
        <row r="104">
          <cell r="B104" t="str">
            <v>G82</v>
          </cell>
          <cell r="C104" t="str">
            <v xml:space="preserve">SONELAL MUKHIYA BIN NIRAMLA DEVI </v>
          </cell>
        </row>
        <row r="105">
          <cell r="B105">
            <v>505</v>
          </cell>
          <cell r="C105" t="str">
            <v>LAKSHMAN BISWAS ANANDA</v>
          </cell>
        </row>
        <row r="106">
          <cell r="B106">
            <v>662</v>
          </cell>
          <cell r="C106" t="str">
            <v>SHAILESH YADAV</v>
          </cell>
        </row>
        <row r="107">
          <cell r="B107">
            <v>1015</v>
          </cell>
          <cell r="C107" t="str">
            <v xml:space="preserve">HARBHAJAN SINGH SARWA </v>
          </cell>
        </row>
        <row r="108">
          <cell r="B108" t="str">
            <v>C007</v>
          </cell>
          <cell r="C108" t="str">
            <v>BODIRUJAMAN IMAMUL H</v>
          </cell>
        </row>
        <row r="109">
          <cell r="B109" t="str">
            <v>C008</v>
          </cell>
          <cell r="C109" t="str">
            <v>HASAN SHIEKH</v>
          </cell>
        </row>
        <row r="110">
          <cell r="B110" t="str">
            <v>C015</v>
          </cell>
          <cell r="C110" t="str">
            <v xml:space="preserve">JAVED KHAN JUMMAN </v>
          </cell>
        </row>
        <row r="111">
          <cell r="B111" t="str">
            <v>C060</v>
          </cell>
          <cell r="C111" t="str">
            <v>MAHARFUL SEKH JANSAD SEIKH</v>
          </cell>
        </row>
        <row r="112">
          <cell r="B112" t="str">
            <v>G111</v>
          </cell>
          <cell r="C112" t="str">
            <v>SURESH DAS KATHABANIYA</v>
          </cell>
        </row>
        <row r="113">
          <cell r="B113" t="str">
            <v>G169</v>
          </cell>
          <cell r="C113" t="str">
            <v>LALKU SADA LADDU SADA</v>
          </cell>
        </row>
        <row r="114">
          <cell r="B114" t="str">
            <v>G171</v>
          </cell>
          <cell r="C114" t="str">
            <v>JIREKHAN MAJI</v>
          </cell>
        </row>
        <row r="115">
          <cell r="B115" t="str">
            <v>G183</v>
          </cell>
          <cell r="C115" t="str">
            <v xml:space="preserve">RAM KUMAR MAHARA SAUKHIYA </v>
          </cell>
        </row>
        <row r="116">
          <cell r="B116" t="str">
            <v>G227</v>
          </cell>
          <cell r="C116" t="str">
            <v>SATTAR</v>
          </cell>
        </row>
        <row r="117">
          <cell r="B117" t="str">
            <v>G25</v>
          </cell>
          <cell r="C117" t="str">
            <v>JAKIR HUSAIN</v>
          </cell>
        </row>
        <row r="118">
          <cell r="B118" t="str">
            <v>G46</v>
          </cell>
          <cell r="C118" t="str">
            <v>AMRIT RAI BIMALA RAI</v>
          </cell>
        </row>
        <row r="119">
          <cell r="B119" t="str">
            <v>G73</v>
          </cell>
          <cell r="C119" t="str">
            <v>KALURAM SADA BHUTI MUSHAR</v>
          </cell>
        </row>
        <row r="120">
          <cell r="B120" t="str">
            <v>G99</v>
          </cell>
          <cell r="C120" t="str">
            <v xml:space="preserve">RAM BAHADUR RAUT DUKHIYA </v>
          </cell>
        </row>
        <row r="121">
          <cell r="B121" t="str">
            <v>G233</v>
          </cell>
          <cell r="C121" t="str">
            <v>IRFAN AHMED</v>
          </cell>
        </row>
        <row r="122">
          <cell r="B122" t="str">
            <v>G199</v>
          </cell>
          <cell r="C122" t="str">
            <v>MD SHORIF MIA MD KALAM MIA</v>
          </cell>
        </row>
        <row r="123">
          <cell r="B123" t="str">
            <v>G200</v>
          </cell>
          <cell r="C123" t="str">
            <v>MOHAMMAD FARVEZ MANJUR ALAM</v>
          </cell>
        </row>
        <row r="124">
          <cell r="B124" t="str">
            <v>G215</v>
          </cell>
          <cell r="C124" t="str">
            <v>MD SHIRAJUL ISLAM</v>
          </cell>
        </row>
        <row r="125">
          <cell r="B125" t="str">
            <v>G217</v>
          </cell>
          <cell r="C125" t="str">
            <v>MUHAMMAD QASIM</v>
          </cell>
        </row>
        <row r="126">
          <cell r="B126" t="str">
            <v>G95</v>
          </cell>
          <cell r="C126" t="str">
            <v>DIPENDRA YADAV RAJENDRA YADAV</v>
          </cell>
        </row>
        <row r="127">
          <cell r="B127" t="str">
            <v>G96</v>
          </cell>
          <cell r="C127" t="str">
            <v>GOVINDA PRASAD BASNET</v>
          </cell>
        </row>
        <row r="128">
          <cell r="B128">
            <v>626</v>
          </cell>
          <cell r="C128" t="str">
            <v>RIYAJUDDEEN ANSARI</v>
          </cell>
        </row>
        <row r="129">
          <cell r="B129">
            <v>265</v>
          </cell>
          <cell r="C129" t="str">
            <v>JAMAL ABDUL RAHMAN</v>
          </cell>
        </row>
        <row r="130">
          <cell r="B130">
            <v>704</v>
          </cell>
          <cell r="C130" t="str">
            <v>RAM RATTAN CHAUHAN</v>
          </cell>
        </row>
        <row r="131">
          <cell r="B131">
            <v>790</v>
          </cell>
          <cell r="C131" t="str">
            <v>RABINDRA DAS TATMA</v>
          </cell>
        </row>
        <row r="132">
          <cell r="B132">
            <v>980</v>
          </cell>
          <cell r="C132" t="str">
            <v xml:space="preserve">AMRAT ULLAH MULTAN </v>
          </cell>
        </row>
        <row r="133">
          <cell r="B133">
            <v>1009</v>
          </cell>
          <cell r="C133" t="str">
            <v>HABIL MIA JAMALUDDIN</v>
          </cell>
        </row>
        <row r="134">
          <cell r="B134" t="str">
            <v>G24</v>
          </cell>
          <cell r="C134" t="str">
            <v>DHANIK LAL MAHARA</v>
          </cell>
        </row>
        <row r="135">
          <cell r="B135" t="str">
            <v> G36</v>
          </cell>
          <cell r="C135" t="str">
            <v>SUNIL KUMAR</v>
          </cell>
        </row>
        <row r="136">
          <cell r="B136" t="str">
            <v>G125</v>
          </cell>
          <cell r="C136" t="str">
            <v>RAM JIBAN YADAV</v>
          </cell>
        </row>
        <row r="137">
          <cell r="B137" t="str">
            <v>G151</v>
          </cell>
          <cell r="C137" t="str">
            <v>GANESH RAI KUL BAHADUR RAI</v>
          </cell>
        </row>
        <row r="138">
          <cell r="B138" t="str">
            <v>G194</v>
          </cell>
          <cell r="C138" t="str">
            <v>MD SAKIL KHAN MD ABUL KASIM</v>
          </cell>
        </row>
        <row r="139">
          <cell r="B139" t="str">
            <v>G210</v>
          </cell>
          <cell r="C139" t="str">
            <v>MD SUMSUL ALOM MD SUKUR ALI</v>
          </cell>
        </row>
        <row r="140">
          <cell r="B140" t="str">
            <v>G42</v>
          </cell>
          <cell r="C140" t="str">
            <v>NAR BAHADUR LIMBU</v>
          </cell>
        </row>
        <row r="141">
          <cell r="B141">
            <v>652</v>
          </cell>
          <cell r="C141" t="str">
            <v>RAM VILASH SINGH YADAV</v>
          </cell>
        </row>
        <row r="142">
          <cell r="B142" t="str">
            <v>G213</v>
          </cell>
          <cell r="C142" t="str">
            <v>MD RAJU AHMED</v>
          </cell>
        </row>
        <row r="143">
          <cell r="B143">
            <v>818</v>
          </cell>
          <cell r="C143" t="str">
            <v>MANOJ YADAV</v>
          </cell>
        </row>
        <row r="144">
          <cell r="B144" t="str">
            <v>C032</v>
          </cell>
          <cell r="C144" t="str">
            <v>NUR ISLAM SEIKH SULT</v>
          </cell>
        </row>
        <row r="145">
          <cell r="B145" t="str">
            <v>G173</v>
          </cell>
          <cell r="C145" t="str">
            <v>JOGENDRA YADAV RAMPRIT YADAV</v>
          </cell>
        </row>
        <row r="146">
          <cell r="B146" t="str">
            <v>G177</v>
          </cell>
          <cell r="C146" t="str">
            <v>AMINDRA MAJHI MUSHAR</v>
          </cell>
        </row>
        <row r="147">
          <cell r="B147" t="str">
            <v>G182</v>
          </cell>
          <cell r="C147" t="str">
            <v>RAJARAM SADA INDRE SADA</v>
          </cell>
        </row>
        <row r="148">
          <cell r="B148" t="str">
            <v>G19</v>
          </cell>
          <cell r="C148" t="str">
            <v>ABUL KALAM JASIM UDDIN</v>
          </cell>
        </row>
        <row r="149">
          <cell r="B149" t="str">
            <v>G202</v>
          </cell>
          <cell r="C149" t="str">
            <v>MD KAMAL MIA MD ABDUS SALAM</v>
          </cell>
        </row>
        <row r="150">
          <cell r="B150" t="str">
            <v>G229</v>
          </cell>
          <cell r="C150" t="str">
            <v>JAMROZ KHAN</v>
          </cell>
        </row>
        <row r="151">
          <cell r="B151" t="str">
            <v>G237</v>
          </cell>
          <cell r="C151" t="str">
            <v>WAHEED ULLAH KHAN NOOR KHAN</v>
          </cell>
        </row>
        <row r="152">
          <cell r="B152" t="str">
            <v>G242</v>
          </cell>
          <cell r="C152" t="str">
            <v>SAMI ULLAH</v>
          </cell>
        </row>
        <row r="153">
          <cell r="B153" t="str">
            <v>G245</v>
          </cell>
          <cell r="C153" t="str">
            <v>IMAD KHAN</v>
          </cell>
        </row>
        <row r="154">
          <cell r="B154" t="str">
            <v>G32</v>
          </cell>
          <cell r="C154" t="str">
            <v>RAM KUMAR YADAV</v>
          </cell>
        </row>
        <row r="155">
          <cell r="B155" t="str">
            <v>G48</v>
          </cell>
          <cell r="C155" t="str">
            <v>DIPENDRA SIWA DARJI</v>
          </cell>
        </row>
        <row r="156">
          <cell r="B156" t="str">
            <v>G72</v>
          </cell>
          <cell r="C156" t="str">
            <v>SAMBHU CHAMAR</v>
          </cell>
        </row>
        <row r="157">
          <cell r="B157" t="str">
            <v>G76</v>
          </cell>
          <cell r="C157" t="str">
            <v>GANGA RAM DAS</v>
          </cell>
        </row>
        <row r="158">
          <cell r="B158" t="str">
            <v>G81</v>
          </cell>
          <cell r="C158" t="str">
            <v>BHUPNARAYAN SAH KANU ANUP</v>
          </cell>
        </row>
        <row r="159">
          <cell r="B159" t="str">
            <v>G89</v>
          </cell>
          <cell r="C159" t="str">
            <v>BISHAL OLI PADAM BAHADUR</v>
          </cell>
        </row>
        <row r="160">
          <cell r="B160" t="str">
            <v>G207</v>
          </cell>
          <cell r="C160" t="str">
            <v>MUHAMMAD ULLAH BAS LARIF</v>
          </cell>
        </row>
        <row r="161">
          <cell r="B161" t="str">
            <v>G230</v>
          </cell>
          <cell r="C161" t="str">
            <v>MUHAMMAD FAIZAN</v>
          </cell>
        </row>
        <row r="162">
          <cell r="B162">
            <v>88</v>
          </cell>
          <cell r="C162" t="str">
            <v>AMIR SHAHZAD GHULAM RASOOL</v>
          </cell>
        </row>
        <row r="163">
          <cell r="B163">
            <v>681</v>
          </cell>
          <cell r="C163" t="str">
            <v>KHALIQ NOOR BADSHAH</v>
          </cell>
        </row>
        <row r="164">
          <cell r="B164">
            <v>984</v>
          </cell>
          <cell r="C164" t="str">
            <v>SAMROZ DIN</v>
          </cell>
        </row>
        <row r="165">
          <cell r="B165" t="str">
            <v>G190</v>
          </cell>
          <cell r="C165" t="str">
            <v>MD RAIHAN MD MANJO MIAH</v>
          </cell>
        </row>
        <row r="166">
          <cell r="B166" t="str">
            <v>G204</v>
          </cell>
          <cell r="C166" t="str">
            <v>MUHAMMAD ZOHAIB SABIR KHAN</v>
          </cell>
        </row>
        <row r="167">
          <cell r="B167" t="str">
            <v>G211</v>
          </cell>
          <cell r="C167" t="str">
            <v>NUR ISLAM SHAHIDUL ISLAM</v>
          </cell>
        </row>
        <row r="168">
          <cell r="B168" t="str">
            <v>G235</v>
          </cell>
          <cell r="C168" t="str">
            <v>USMAN NAJEEB NAJEEB ULLAH</v>
          </cell>
        </row>
        <row r="169">
          <cell r="B169" t="str">
            <v>G246</v>
          </cell>
          <cell r="C169" t="str">
            <v>MUNSIF KHAN</v>
          </cell>
        </row>
        <row r="170">
          <cell r="B170">
            <v>231</v>
          </cell>
          <cell r="C170" t="str">
            <v xml:space="preserve">MORSHAD ALAM ABUL KALAM </v>
          </cell>
        </row>
        <row r="171">
          <cell r="B171">
            <v>245</v>
          </cell>
          <cell r="C171" t="str">
            <v>ABU BAKKAR LATE ABDUL GONU MIAH</v>
          </cell>
        </row>
        <row r="172">
          <cell r="B172">
            <v>247</v>
          </cell>
          <cell r="C172" t="str">
            <v>NAZRUL ABDUL MALAK</v>
          </cell>
        </row>
        <row r="173">
          <cell r="B173">
            <v>412</v>
          </cell>
          <cell r="C173" t="str">
            <v>DEBU BAIRAGI BAIRAGI DHIREN</v>
          </cell>
        </row>
        <row r="174">
          <cell r="B174">
            <v>867</v>
          </cell>
          <cell r="C174" t="str">
            <v>ARAVIND KUMAR</v>
          </cell>
        </row>
        <row r="175">
          <cell r="B175">
            <v>1012</v>
          </cell>
          <cell r="C175" t="str">
            <v>JAFAR UDDIN KADAM ALI</v>
          </cell>
        </row>
        <row r="176">
          <cell r="B176">
            <v>1045</v>
          </cell>
          <cell r="C176" t="str">
            <v>DALOWAR HOSSAIN</v>
          </cell>
        </row>
        <row r="177">
          <cell r="B177" t="str">
            <v>G139</v>
          </cell>
          <cell r="C177" t="str">
            <v>HARINDAR HAJARI</v>
          </cell>
        </row>
        <row r="178">
          <cell r="B178" t="str">
            <v>G192</v>
          </cell>
          <cell r="C178" t="str">
            <v>ABUL BASHER ABDUL MUNAF</v>
          </cell>
        </row>
        <row r="179">
          <cell r="B179" t="str">
            <v>G228</v>
          </cell>
          <cell r="C179" t="str">
            <v>TASAWAR KHAN</v>
          </cell>
        </row>
        <row r="180">
          <cell r="B180" t="str">
            <v>G234</v>
          </cell>
          <cell r="C180" t="str">
            <v>AMIR SOHAIL</v>
          </cell>
        </row>
        <row r="181">
          <cell r="B181" t="str">
            <v>G238</v>
          </cell>
          <cell r="C181" t="str">
            <v>SULIMAN KHAN ALI BAHADAR</v>
          </cell>
        </row>
        <row r="182">
          <cell r="B182" t="str">
            <v>G243</v>
          </cell>
          <cell r="C182" t="str">
            <v>SHERAZ KHAN</v>
          </cell>
        </row>
        <row r="183">
          <cell r="B183" t="str">
            <v>G193</v>
          </cell>
          <cell r="C183" t="str">
            <v>SHAFIQ MIAH FORID MEAH</v>
          </cell>
        </row>
        <row r="184">
          <cell r="B184">
            <v>675</v>
          </cell>
          <cell r="C184" t="str">
            <v>GORAY RAWAL</v>
          </cell>
        </row>
        <row r="185">
          <cell r="B185">
            <v>694</v>
          </cell>
          <cell r="C185" t="str">
            <v>FAJALE ALAM FERASAT ALAM</v>
          </cell>
        </row>
        <row r="186">
          <cell r="B186" t="str">
            <v>G223</v>
          </cell>
          <cell r="C186" t="str">
            <v>JAZIB ALI</v>
          </cell>
        </row>
        <row r="187">
          <cell r="B187">
            <v>579</v>
          </cell>
          <cell r="C187" t="str">
            <v>MUHAMMAD UMAR HAYAT</v>
          </cell>
        </row>
        <row r="188">
          <cell r="B188">
            <v>606</v>
          </cell>
          <cell r="C188" t="str">
            <v>AZEEM KHAN</v>
          </cell>
        </row>
        <row r="189">
          <cell r="B189">
            <v>1005</v>
          </cell>
          <cell r="C189" t="str">
            <v>SHELIM OHAB MOLLAH</v>
          </cell>
        </row>
        <row r="190">
          <cell r="B190" t="str">
            <v>C045</v>
          </cell>
          <cell r="C190" t="str">
            <v xml:space="preserve">MOHAMMAD NUR KALAM </v>
          </cell>
        </row>
        <row r="191">
          <cell r="B191" t="str">
            <v>G248</v>
          </cell>
          <cell r="C191" t="str">
            <v>MOHAMMED SABEEL KULANGARA</v>
          </cell>
        </row>
        <row r="192">
          <cell r="B192" t="str">
            <v>G247</v>
          </cell>
          <cell r="C192" t="str">
            <v>KAVINDU SATHSARA ABEYWICKRAMA GAMAGE</v>
          </cell>
        </row>
        <row r="193">
          <cell r="B193">
            <v>964</v>
          </cell>
          <cell r="C193" t="str">
            <v>DURGA BAHADUR</v>
          </cell>
        </row>
        <row r="194">
          <cell r="B194" t="str">
            <v>G06</v>
          </cell>
          <cell r="C194" t="str">
            <v>MUZAMAL HUSSAIN</v>
          </cell>
        </row>
        <row r="195">
          <cell r="B195" t="str">
            <v>G102</v>
          </cell>
          <cell r="C195" t="str">
            <v>KALICHARAN KAPAR KEWAT</v>
          </cell>
        </row>
        <row r="196">
          <cell r="B196" t="str">
            <v>G103</v>
          </cell>
          <cell r="C196" t="str">
            <v xml:space="preserve">PINKU SAHANI SUKHARIYA </v>
          </cell>
        </row>
        <row r="197">
          <cell r="B197" t="str">
            <v>G104</v>
          </cell>
          <cell r="C197" t="str">
            <v>ANISH RAY BINAY KUMAR RAY</v>
          </cell>
        </row>
        <row r="198">
          <cell r="B198" t="str">
            <v>G119</v>
          </cell>
          <cell r="C198" t="str">
            <v>SHYAM SAGAR SAH</v>
          </cell>
        </row>
        <row r="199">
          <cell r="B199" t="str">
            <v>G140</v>
          </cell>
          <cell r="C199" t="str">
            <v>RAM PUKAR SAH</v>
          </cell>
        </row>
        <row r="200">
          <cell r="B200" t="str">
            <v>G142</v>
          </cell>
          <cell r="C200" t="str">
            <v xml:space="preserve">RAM BILAS MOCHI AMIRKA DEVI MOCHI </v>
          </cell>
        </row>
        <row r="201">
          <cell r="B201" t="str">
            <v>G144</v>
          </cell>
          <cell r="C201" t="str">
            <v>SONAM KUMAR MOCHI</v>
          </cell>
        </row>
        <row r="202">
          <cell r="B202" t="str">
            <v>G154</v>
          </cell>
          <cell r="C202" t="str">
            <v>DHUKINDRA KARKI</v>
          </cell>
        </row>
        <row r="203">
          <cell r="B203" t="str">
            <v>G174</v>
          </cell>
          <cell r="C203" t="str">
            <v xml:space="preserve">GAJARAM TAMANG JIT BAHADUR </v>
          </cell>
        </row>
        <row r="204">
          <cell r="B204" t="str">
            <v>G179</v>
          </cell>
          <cell r="C204" t="str">
            <v>SIYASARAN MAHATO</v>
          </cell>
        </row>
        <row r="205">
          <cell r="B205" t="str">
            <v>G181</v>
          </cell>
          <cell r="C205" t="str">
            <v>HIKMAT BAHADUR</v>
          </cell>
        </row>
        <row r="206">
          <cell r="B206" t="str">
            <v>G187</v>
          </cell>
          <cell r="C206" t="str">
            <v>MANBIR DANGI JHUP SINGH DANGI</v>
          </cell>
        </row>
        <row r="207">
          <cell r="B207" t="str">
            <v>G195</v>
          </cell>
          <cell r="C207" t="str">
            <v>MD ABU TAHER MD ALI AHMED</v>
          </cell>
        </row>
        <row r="208">
          <cell r="B208" t="str">
            <v>G232</v>
          </cell>
          <cell r="C208" t="str">
            <v>MUHAMMAD GULFAM ASHRAF</v>
          </cell>
        </row>
        <row r="209">
          <cell r="B209" t="str">
            <v>G241</v>
          </cell>
          <cell r="C209" t="str">
            <v>KHANZEB</v>
          </cell>
        </row>
        <row r="210">
          <cell r="B210" t="str">
            <v>G41</v>
          </cell>
          <cell r="C210" t="str">
            <v xml:space="preserve">RAMKUMAR MAHATO </v>
          </cell>
        </row>
        <row r="211">
          <cell r="B211" t="str">
            <v>G43</v>
          </cell>
          <cell r="C211" t="str">
            <v>SUREN SADA CHANDRALAL</v>
          </cell>
        </row>
        <row r="212">
          <cell r="B212" t="str">
            <v>G44</v>
          </cell>
          <cell r="C212" t="str">
            <v>JAGESHWAR MANDAL</v>
          </cell>
        </row>
        <row r="213">
          <cell r="B213" t="str">
            <v>G53</v>
          </cell>
          <cell r="C213" t="str">
            <v xml:space="preserve">LAKPA SHERPA PHURINJI </v>
          </cell>
        </row>
        <row r="214">
          <cell r="B214" t="str">
            <v>G55</v>
          </cell>
          <cell r="C214" t="str">
            <v xml:space="preserve">DHIREN NUSAHAR HARILAL </v>
          </cell>
        </row>
        <row r="215">
          <cell r="B215" t="str">
            <v>G71</v>
          </cell>
          <cell r="C215" t="str">
            <v>BINOD KUMAR TELI</v>
          </cell>
        </row>
        <row r="216">
          <cell r="B216" t="str">
            <v>G74</v>
          </cell>
          <cell r="C216" t="str">
            <v xml:space="preserve">SANTOSH KUMAR BARAI </v>
          </cell>
        </row>
        <row r="217">
          <cell r="B217" t="str">
            <v>G90</v>
          </cell>
          <cell r="C217" t="str">
            <v>SHYAM KUMAR HARIJAN REKHA</v>
          </cell>
        </row>
        <row r="218">
          <cell r="B218" t="str">
            <v>G91</v>
          </cell>
          <cell r="C218" t="str">
            <v>MANOD RAY GHURANI AMAT</v>
          </cell>
        </row>
        <row r="219">
          <cell r="B219" t="str">
            <v>G93</v>
          </cell>
          <cell r="C219" t="str">
            <v>RAM BHAROSH YADAV</v>
          </cell>
        </row>
        <row r="221">
          <cell r="B221" t="str">
            <v>G18</v>
          </cell>
          <cell r="C221" t="str">
            <v>MOHMMAD FOYZAL MOHUDDIN</v>
          </cell>
        </row>
        <row r="222">
          <cell r="B222" t="str">
            <v>G216</v>
          </cell>
          <cell r="C222" t="str">
            <v>MD Mahfuj Abdur Rehman</v>
          </cell>
        </row>
        <row r="223">
          <cell r="B223" t="str">
            <v>G201</v>
          </cell>
          <cell r="C223" t="str">
            <v>MD Imran Ali MD Abu Salam</v>
          </cell>
        </row>
        <row r="224">
          <cell r="B224" t="str">
            <v>C044</v>
          </cell>
          <cell r="C224" t="str">
            <v>Tarif Sekh Jabed Sekh</v>
          </cell>
        </row>
        <row r="225">
          <cell r="B225" t="str">
            <v>C092</v>
          </cell>
          <cell r="C225" t="str">
            <v>TAYYAB ULLAH ABDULLAH KHAN</v>
          </cell>
        </row>
        <row r="226">
          <cell r="B226" t="str">
            <v>C095</v>
          </cell>
          <cell r="C226" t="str">
            <v>INAM GUL JANAT GUL</v>
          </cell>
        </row>
        <row r="228">
          <cell r="B228" t="str">
            <v>G33</v>
          </cell>
          <cell r="C228" t="str">
            <v>THANESHWOR MAHATO</v>
          </cell>
        </row>
        <row r="229">
          <cell r="B229" t="str">
            <v>G29</v>
          </cell>
          <cell r="C229" t="str">
            <v>LALIT DAS TETARI</v>
          </cell>
        </row>
        <row r="230">
          <cell r="B230" t="str">
            <v>G28</v>
          </cell>
          <cell r="C230" t="str">
            <v>JAY KISHOR DAS</v>
          </cell>
        </row>
        <row r="231">
          <cell r="B231" t="str">
            <v>G137</v>
          </cell>
          <cell r="C231" t="str">
            <v>Gaj Bahadur Mochi</v>
          </cell>
        </row>
        <row r="232">
          <cell r="B232" t="str">
            <v> G22</v>
          </cell>
          <cell r="C232" t="str">
            <v>BUDDHIMAN TAMANG</v>
          </cell>
        </row>
        <row r="233">
          <cell r="B233">
            <v>966</v>
          </cell>
          <cell r="C233" t="str">
            <v>SHIV KUMAR YADAV</v>
          </cell>
        </row>
        <row r="234">
          <cell r="B234" t="str">
            <v>G222</v>
          </cell>
          <cell r="C234" t="str">
            <v>RASHID MAQBOOL</v>
          </cell>
        </row>
        <row r="235">
          <cell r="B235">
            <v>631</v>
          </cell>
          <cell r="C235" t="str">
            <v>ARSLAN MAHMOOD</v>
          </cell>
        </row>
        <row r="236">
          <cell r="B236">
            <v>583</v>
          </cell>
          <cell r="C236" t="str">
            <v>INAYAT ULLAH SAHIB ZADA</v>
          </cell>
        </row>
        <row r="237">
          <cell r="B237">
            <v>628</v>
          </cell>
          <cell r="C237" t="str">
            <v xml:space="preserve">DIPAK RAM </v>
          </cell>
        </row>
        <row r="238">
          <cell r="B238" t="str">
            <v>G12</v>
          </cell>
          <cell r="C238" t="str">
            <v>HABIB UR REHMAN</v>
          </cell>
        </row>
        <row r="239">
          <cell r="B239" t="str">
            <v>G175</v>
          </cell>
          <cell r="C239" t="str">
            <v>BHUBAN BK SETE KAMI</v>
          </cell>
        </row>
        <row r="240">
          <cell r="B240" t="str">
            <v>G176</v>
          </cell>
          <cell r="C240" t="str">
            <v>GURU SHARAN MAHATO</v>
          </cell>
        </row>
        <row r="241">
          <cell r="B241" t="str">
            <v>G180</v>
          </cell>
          <cell r="C241" t="str">
            <v>SUMAN B K SETE KAMI</v>
          </cell>
        </row>
        <row r="242">
          <cell r="B242" t="str">
            <v>G184</v>
          </cell>
          <cell r="C242" t="str">
            <v>Indra Paija Pun Khumbahadur paija pun</v>
          </cell>
        </row>
        <row r="243">
          <cell r="B243" t="str">
            <v>G185</v>
          </cell>
          <cell r="C243" t="str">
            <v>Debu Pun Jim Bahadur Pun</v>
          </cell>
        </row>
        <row r="244">
          <cell r="B244" t="str">
            <v>G188</v>
          </cell>
          <cell r="C244" t="str">
            <v>Anamol BK Chhabilal BK</v>
          </cell>
        </row>
        <row r="245">
          <cell r="B245" t="str">
            <v>G186</v>
          </cell>
          <cell r="C245" t="str">
            <v>Chhabilal Sapkota</v>
          </cell>
        </row>
        <row r="246">
          <cell r="B246">
            <v>975</v>
          </cell>
          <cell r="C246" t="str">
            <v>Jaya Gurdhami</v>
          </cell>
        </row>
        <row r="247">
          <cell r="B247" t="str">
            <v>G166</v>
          </cell>
          <cell r="C247" t="str">
            <v>Dukhi Mahato Ghusaka Mahato Koiri</v>
          </cell>
        </row>
        <row r="248">
          <cell r="B248" t="str">
            <v>G170</v>
          </cell>
          <cell r="C248" t="str">
            <v>Ram Chandra Pasi</v>
          </cell>
        </row>
        <row r="249">
          <cell r="B249" t="str">
            <v> G21</v>
          </cell>
          <cell r="C249" t="str">
            <v xml:space="preserve">SURESH KUMAR MARITA </v>
          </cell>
        </row>
        <row r="250">
          <cell r="B250">
            <v>965</v>
          </cell>
          <cell r="C250" t="str">
            <v>RAMJATAN YADAV</v>
          </cell>
        </row>
        <row r="251">
          <cell r="B251" t="str">
            <v>G150</v>
          </cell>
          <cell r="C251" t="str">
            <v>Rajendra Dangi Anita Dangi</v>
          </cell>
        </row>
        <row r="252">
          <cell r="B252" t="str">
            <v>G157</v>
          </cell>
          <cell r="C252" t="str">
            <v>Bijay Dhami Taiya Dhami</v>
          </cell>
        </row>
        <row r="253">
          <cell r="B253" t="str">
            <v>G158</v>
          </cell>
          <cell r="C253" t="str">
            <v>Raju Dhami Kisun Dhami</v>
          </cell>
        </row>
        <row r="254">
          <cell r="B254" t="str">
            <v>G159</v>
          </cell>
          <cell r="C254" t="str">
            <v>Biraju Kapar Rinky Devi</v>
          </cell>
        </row>
        <row r="255">
          <cell r="B255" t="str">
            <v>G160</v>
          </cell>
          <cell r="C255" t="str">
            <v>Man Kumar Bishwakarma</v>
          </cell>
        </row>
        <row r="256">
          <cell r="B256" t="str">
            <v>G164</v>
          </cell>
          <cell r="C256" t="str">
            <v>Ram Sebak Sada Gari Lal Sada</v>
          </cell>
        </row>
        <row r="257">
          <cell r="B257" t="str">
            <v>G165</v>
          </cell>
          <cell r="C257" t="str">
            <v>Ram Pukar Sah Dhaneshwar Yadav</v>
          </cell>
        </row>
        <row r="258">
          <cell r="B258" t="str">
            <v>G143</v>
          </cell>
          <cell r="C258" t="str">
            <v>TAJENDRA BHANDARI</v>
          </cell>
        </row>
        <row r="259">
          <cell r="B259" t="str">
            <v>G146</v>
          </cell>
          <cell r="C259" t="str">
            <v>MANOJ KUMAR MANDAL</v>
          </cell>
        </row>
        <row r="260">
          <cell r="B260" t="str">
            <v>G147</v>
          </cell>
          <cell r="C260" t="str">
            <v xml:space="preserve">MUKEEM MIYA HAWARI </v>
          </cell>
        </row>
        <row r="261">
          <cell r="B261" t="str">
            <v>G107</v>
          </cell>
          <cell r="C261" t="str">
            <v>Bipin kumar yadav</v>
          </cell>
        </row>
        <row r="262">
          <cell r="B262" t="str">
            <v>G120</v>
          </cell>
          <cell r="C262" t="str">
            <v>Surindra kumar Mukhiya</v>
          </cell>
        </row>
        <row r="263">
          <cell r="B263" t="str">
            <v>G124</v>
          </cell>
          <cell r="C263" t="str">
            <v>Ram Prit mukhiya</v>
          </cell>
        </row>
        <row r="264">
          <cell r="B264" t="str">
            <v>G127</v>
          </cell>
          <cell r="C264" t="str">
            <v>Jay Kishor Yadav</v>
          </cell>
        </row>
        <row r="265">
          <cell r="B265" t="str">
            <v>G136</v>
          </cell>
          <cell r="C265" t="str">
            <v>Dipak Rai</v>
          </cell>
        </row>
        <row r="266">
          <cell r="B266" t="str">
            <v>G141</v>
          </cell>
          <cell r="C266" t="str">
            <v>Pawan Kumar Singh Nand Kishor Singh</v>
          </cell>
        </row>
        <row r="267">
          <cell r="B267" t="str">
            <v>G112</v>
          </cell>
          <cell r="C267" t="str">
            <v>Ajay maghi</v>
          </cell>
        </row>
        <row r="268">
          <cell r="B268" t="str">
            <v>G113</v>
          </cell>
          <cell r="C268" t="str">
            <v>Daud khan paithan</v>
          </cell>
        </row>
        <row r="269">
          <cell r="B269" t="str">
            <v>G114</v>
          </cell>
          <cell r="C269" t="str">
            <v>shyam sundar mahara</v>
          </cell>
        </row>
        <row r="270">
          <cell r="B270" t="str">
            <v>G116</v>
          </cell>
          <cell r="C270" t="str">
            <v>Ram kishor yadav</v>
          </cell>
        </row>
        <row r="271">
          <cell r="B271" t="str">
            <v>G128</v>
          </cell>
          <cell r="C271" t="str">
            <v>MD Rahim Kabari</v>
          </cell>
        </row>
        <row r="272">
          <cell r="B272" t="str">
            <v>G130</v>
          </cell>
          <cell r="C272" t="str">
            <v>Roshan Chaudhary</v>
          </cell>
        </row>
        <row r="273">
          <cell r="B273" t="str">
            <v>G131</v>
          </cell>
          <cell r="C273" t="str">
            <v>Rudra Bahadur Bishwakarma</v>
          </cell>
        </row>
        <row r="274">
          <cell r="B274" t="str">
            <v>G75</v>
          </cell>
          <cell r="C274" t="str">
            <v>Akshay Dhami Sendu Lal Dhami</v>
          </cell>
        </row>
        <row r="275">
          <cell r="B275" t="str">
            <v>G78</v>
          </cell>
          <cell r="C275" t="str">
            <v>Raja Ram Sah Kanu Ram</v>
          </cell>
        </row>
        <row r="276">
          <cell r="B276" t="str">
            <v>G79</v>
          </cell>
          <cell r="C276" t="str">
            <v>Umesh Sah Bhola Sah</v>
          </cell>
        </row>
        <row r="277">
          <cell r="B277" t="str">
            <v>G80</v>
          </cell>
          <cell r="C277" t="str">
            <v>Dipesh Surait Kasindra Surait</v>
          </cell>
        </row>
        <row r="278">
          <cell r="B278">
            <v>560</v>
          </cell>
          <cell r="C278" t="str">
            <v>Tilachan Limbu</v>
          </cell>
        </row>
        <row r="279">
          <cell r="B279" t="str">
            <v>G98</v>
          </cell>
          <cell r="C279" t="str">
            <v xml:space="preserve">KHYAM SAMSHER CHAMLAGAIN </v>
          </cell>
        </row>
        <row r="280">
          <cell r="B280" t="str">
            <v>G100</v>
          </cell>
          <cell r="C280" t="str">
            <v xml:space="preserve">THARKA BAHADUR CHAMLAGAIN </v>
          </cell>
        </row>
        <row r="281">
          <cell r="B281" t="str">
            <v>G101</v>
          </cell>
          <cell r="C281" t="str">
            <v>SHIPU RAUT THAGAN RAUT</v>
          </cell>
        </row>
        <row r="282">
          <cell r="B282" t="str">
            <v>G105</v>
          </cell>
          <cell r="C282" t="str">
            <v>DIPESH KUMAR KAPAR SUNIL KAPAR</v>
          </cell>
        </row>
        <row r="283">
          <cell r="B283" t="str">
            <v> G26</v>
          </cell>
          <cell r="C283" t="str">
            <v>RAMDAYAL MAHARA</v>
          </cell>
        </row>
        <row r="284">
          <cell r="B284" t="str">
            <v>G85</v>
          </cell>
          <cell r="C284" t="str">
            <v>Yubaraj Pun Magar Gyan</v>
          </cell>
        </row>
        <row r="285">
          <cell r="B285" t="str">
            <v>G83</v>
          </cell>
          <cell r="C285" t="str">
            <v>Jit Bahadur Rai Padam Bahadur</v>
          </cell>
        </row>
        <row r="286">
          <cell r="B286" t="str">
            <v>G86</v>
          </cell>
          <cell r="C286" t="str">
            <v>Anjay Kumar Mandal</v>
          </cell>
        </row>
        <row r="287">
          <cell r="B287" t="str">
            <v>G87</v>
          </cell>
          <cell r="C287" t="str">
            <v>Khum bahadur Thapa Dil</v>
          </cell>
        </row>
        <row r="288">
          <cell r="B288" t="str">
            <v>G88</v>
          </cell>
          <cell r="C288" t="str">
            <v>Lebindra bhandari Bhim Bahadur</v>
          </cell>
        </row>
        <row r="289">
          <cell r="B289" t="str">
            <v>G92</v>
          </cell>
          <cell r="C289" t="str">
            <v xml:space="preserve">Tuk Bahadur Thapa Jit bahadur </v>
          </cell>
        </row>
        <row r="290">
          <cell r="B290" t="str">
            <v>G94</v>
          </cell>
          <cell r="C290" t="str">
            <v xml:space="preserve">Sanjib Chaudhary Chanku </v>
          </cell>
        </row>
        <row r="291">
          <cell r="B291">
            <v>1014</v>
          </cell>
          <cell r="C291" t="str">
            <v>TILAK RAJ</v>
          </cell>
        </row>
        <row r="292">
          <cell r="B292" t="str">
            <v>G47</v>
          </cell>
          <cell r="C292" t="str">
            <v xml:space="preserve">DINESH SADA JOGINDRA </v>
          </cell>
        </row>
        <row r="293">
          <cell r="B293" t="str">
            <v>G56</v>
          </cell>
          <cell r="C293" t="str">
            <v xml:space="preserve">Bechan Sahani Dev Narayan </v>
          </cell>
        </row>
        <row r="294">
          <cell r="B294" t="str">
            <v>G61</v>
          </cell>
          <cell r="C294" t="str">
            <v xml:space="preserve">Manish kumar goit anita </v>
          </cell>
        </row>
        <row r="295">
          <cell r="B295" t="str">
            <v>G45</v>
          </cell>
          <cell r="C295" t="str">
            <v>AKSHAY KUMAR URANW</v>
          </cell>
        </row>
        <row r="296">
          <cell r="B296" t="str">
            <v>G51</v>
          </cell>
          <cell r="C296" t="str">
            <v xml:space="preserve">DURGESH YADAV JAMUNA </v>
          </cell>
        </row>
        <row r="297">
          <cell r="B297" t="str">
            <v>G57</v>
          </cell>
          <cell r="C297" t="str">
            <v>Mingma dawa sherpa</v>
          </cell>
        </row>
        <row r="298">
          <cell r="B298" t="str">
            <v>G58</v>
          </cell>
          <cell r="C298" t="str">
            <v>Santosh Majhi rita devi</v>
          </cell>
        </row>
        <row r="299">
          <cell r="B299" t="str">
            <v>G64</v>
          </cell>
          <cell r="C299" t="str">
            <v>PARAKASH NEPALI SUNAR</v>
          </cell>
        </row>
        <row r="300">
          <cell r="B300" t="str">
            <v>G65</v>
          </cell>
          <cell r="C300" t="str">
            <v>PREM BAHADUR B K</v>
          </cell>
        </row>
        <row r="301">
          <cell r="B301" t="str">
            <v>G68</v>
          </cell>
          <cell r="C301" t="str">
            <v>RAJ KUMAR BK</v>
          </cell>
        </row>
        <row r="302">
          <cell r="B302" t="str">
            <v>G69</v>
          </cell>
          <cell r="C302" t="str">
            <v>GUM BAHADUR B K</v>
          </cell>
        </row>
        <row r="303">
          <cell r="B303" t="str">
            <v>G70</v>
          </cell>
          <cell r="C303" t="str">
            <v>SANJEEP GURUNG</v>
          </cell>
        </row>
        <row r="304">
          <cell r="B304" t="str">
            <v>G63</v>
          </cell>
          <cell r="C304" t="str">
            <v>SANJU B K</v>
          </cell>
        </row>
        <row r="305">
          <cell r="B305" t="str">
            <v>G66</v>
          </cell>
          <cell r="C305" t="str">
            <v>AKASH B K</v>
          </cell>
        </row>
        <row r="306">
          <cell r="B306" t="str">
            <v>G62</v>
          </cell>
          <cell r="C306" t="str">
            <v xml:space="preserve">Sato sada mushar Narayan </v>
          </cell>
        </row>
        <row r="307">
          <cell r="B307" t="str">
            <v>G49</v>
          </cell>
          <cell r="C307" t="str">
            <v>KRISHNA SADA</v>
          </cell>
        </row>
        <row r="308">
          <cell r="B308" t="str">
            <v>G50</v>
          </cell>
          <cell r="C308" t="str">
            <v>OM KUMAR MAHARA</v>
          </cell>
        </row>
        <row r="309">
          <cell r="B309" t="str">
            <v>G52</v>
          </cell>
          <cell r="C309" t="str">
            <v>PRADIP KUMAR CHAUDHARY</v>
          </cell>
        </row>
        <row r="310">
          <cell r="B310" t="str">
            <v>C085</v>
          </cell>
          <cell r="C310" t="str">
            <v>MEHBOOB ALI ZARD ULLAH KHAN</v>
          </cell>
        </row>
        <row r="311">
          <cell r="B311" t="str">
            <v>G37</v>
          </cell>
          <cell r="C311" t="str">
            <v>Bhim bahadur sarki</v>
          </cell>
        </row>
        <row r="312">
          <cell r="B312" t="str">
            <v>G38</v>
          </cell>
          <cell r="C312" t="str">
            <v>SHRAWAN MAHATO URAW</v>
          </cell>
        </row>
        <row r="313">
          <cell r="B313">
            <v>778</v>
          </cell>
          <cell r="C313" t="str">
            <v>Shailesh Nagadu</v>
          </cell>
        </row>
        <row r="314">
          <cell r="B314">
            <v>2139</v>
          </cell>
          <cell r="C314" t="str">
            <v>Sikandar Khan Mir Aman</v>
          </cell>
        </row>
        <row r="315">
          <cell r="B315" t="str">
            <v>G23</v>
          </cell>
          <cell r="C315" t="str">
            <v>AITE SING</v>
          </cell>
        </row>
        <row r="316">
          <cell r="B316" t="str">
            <v>G27</v>
          </cell>
          <cell r="C316" t="str">
            <v xml:space="preserve">NAJIR SEKH BIPATIYA </v>
          </cell>
        </row>
        <row r="317">
          <cell r="B317" t="str">
            <v>G34</v>
          </cell>
          <cell r="C317" t="str">
            <v xml:space="preserve">RAJ KUMAR MAJHI SITA </v>
          </cell>
        </row>
        <row r="318">
          <cell r="B318" t="str">
            <v>G35</v>
          </cell>
          <cell r="C318" t="str">
            <v>SHANKAR KUMAR YADAV</v>
          </cell>
        </row>
        <row r="319">
          <cell r="B319" t="str">
            <v>G250</v>
          </cell>
          <cell r="C319" t="str">
            <v xml:space="preserve">SHahid Iqbal - RENTAL DRIVER </v>
          </cell>
        </row>
        <row r="320">
          <cell r="B320" t="str">
            <v>OF43</v>
          </cell>
          <cell r="C320" t="str">
            <v>HAKIM KHAN - RENTAL DRIVER</v>
          </cell>
        </row>
        <row r="321">
          <cell r="B321">
            <v>96</v>
          </cell>
          <cell r="C321" t="str">
            <v>ABDUL RAB LATE KHAZI FAZLUL</v>
          </cell>
        </row>
        <row r="322">
          <cell r="B322">
            <v>779</v>
          </cell>
          <cell r="C322" t="str">
            <v>Yogendra sahani</v>
          </cell>
        </row>
        <row r="323">
          <cell r="B323">
            <v>1007</v>
          </cell>
          <cell r="C323" t="str">
            <v>RAKIBUL ISLAM</v>
          </cell>
        </row>
        <row r="324">
          <cell r="B324">
            <v>1017</v>
          </cell>
          <cell r="C324" t="str">
            <v>RAJ KAPOOR SHISH RAM</v>
          </cell>
        </row>
        <row r="325">
          <cell r="B325">
            <v>843</v>
          </cell>
          <cell r="C325" t="str">
            <v>Gurpreeth Hari Chand</v>
          </cell>
        </row>
        <row r="326">
          <cell r="B326">
            <v>950</v>
          </cell>
          <cell r="C326" t="str">
            <v>Phul Babu Yadav</v>
          </cell>
        </row>
        <row r="327">
          <cell r="B327">
            <v>819</v>
          </cell>
          <cell r="C327" t="str">
            <v>Narsingh</v>
          </cell>
        </row>
        <row r="328">
          <cell r="B328" t="str">
            <v>G196</v>
          </cell>
          <cell r="C328" t="str">
            <v>HAIDAR KHAN</v>
          </cell>
        </row>
        <row r="329">
          <cell r="B329">
            <v>521</v>
          </cell>
          <cell r="C329" t="str">
            <v>Muhammad Nadeem Jandad Khan</v>
          </cell>
        </row>
        <row r="330">
          <cell r="B330">
            <v>519</v>
          </cell>
          <cell r="C330" t="str">
            <v>MUHAMMAD HAMEED SHAH WALI</v>
          </cell>
        </row>
        <row r="331">
          <cell r="B331">
            <v>805</v>
          </cell>
          <cell r="C331" t="str">
            <v>MOHMMAD SUBHAN</v>
          </cell>
        </row>
        <row r="332">
          <cell r="B332">
            <v>467</v>
          </cell>
          <cell r="C332" t="str">
            <v>GOBINDA BISWAS</v>
          </cell>
        </row>
        <row r="333">
          <cell r="B333">
            <v>809</v>
          </cell>
          <cell r="C333" t="str">
            <v xml:space="preserve">Haris Khan </v>
          </cell>
        </row>
        <row r="334">
          <cell r="B334">
            <v>807</v>
          </cell>
          <cell r="C334" t="str">
            <v>NOORBASAR KHAN</v>
          </cell>
        </row>
        <row r="335">
          <cell r="B335">
            <v>771</v>
          </cell>
          <cell r="C335" t="str">
            <v xml:space="preserve">Jeetendar Kumar Pandit </v>
          </cell>
        </row>
        <row r="336">
          <cell r="B336" t="str">
            <v>G149</v>
          </cell>
          <cell r="C336" t="str">
            <v>Eman Sing Dangi Shovaram Dangi</v>
          </cell>
        </row>
        <row r="337">
          <cell r="B337" t="str">
            <v>G31</v>
          </cell>
          <cell r="C337" t="str">
            <v>DIKENDRA BAHADUR BARAL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24B7-9380-4A34-AEFA-FAEEDEB7A6E7}">
  <dimension ref="A1:AH195"/>
  <sheetViews>
    <sheetView zoomScale="78" zoomScaleNormal="78" workbookViewId="0">
      <pane ySplit="1" topLeftCell="A98" activePane="bottomLeft" state="frozen"/>
      <selection activeCell="B1" sqref="B1"/>
      <selection pane="bottomLeft" activeCell="AA116" sqref="AA116"/>
    </sheetView>
  </sheetViews>
  <sheetFormatPr defaultColWidth="9.140625" defaultRowHeight="15.75" x14ac:dyDescent="0.25"/>
  <cols>
    <col min="1" max="1" width="4.140625" bestFit="1" customWidth="1"/>
    <col min="2" max="2" width="6.42578125" bestFit="1" customWidth="1"/>
    <col min="3" max="3" width="31.140625" customWidth="1"/>
    <col min="4" max="4" width="8.7109375" style="29" hidden="1" customWidth="1"/>
    <col min="5" max="5" width="7.85546875" customWidth="1"/>
    <col min="6" max="6" width="5.5703125" bestFit="1" customWidth="1"/>
    <col min="7" max="7" width="5.7109375" customWidth="1"/>
    <col min="8" max="8" width="5.28515625" customWidth="1"/>
    <col min="9" max="9" width="5.5703125" style="30" customWidth="1"/>
    <col min="10" max="10" width="7.140625" customWidth="1"/>
    <col min="11" max="11" width="7" customWidth="1"/>
    <col min="12" max="12" width="8.42578125" customWidth="1"/>
    <col min="13" max="14" width="7" customWidth="1"/>
    <col min="15" max="15" width="7.140625" customWidth="1"/>
    <col min="16" max="16" width="6.85546875" customWidth="1"/>
    <col min="17" max="17" width="5.7109375" customWidth="1"/>
    <col min="18" max="18" width="6.7109375" customWidth="1"/>
    <col min="19" max="19" width="8.7109375" customWidth="1"/>
    <col min="20" max="20" width="5" customWidth="1"/>
    <col min="21" max="21" width="7.140625" customWidth="1"/>
    <col min="22" max="22" width="5.5703125" customWidth="1"/>
    <col min="23" max="23" width="7" customWidth="1"/>
    <col min="24" max="24" width="11.85546875" bestFit="1" customWidth="1"/>
    <col min="25" max="25" width="21" customWidth="1"/>
    <col min="26" max="26" width="7.5703125" customWidth="1"/>
    <col min="27" max="27" width="9.28515625" bestFit="1" customWidth="1"/>
    <col min="28" max="28" width="9" hidden="1" customWidth="1"/>
    <col min="29" max="29" width="9.42578125" hidden="1" customWidth="1"/>
    <col min="30" max="30" width="7.85546875" hidden="1" customWidth="1"/>
    <col min="31" max="31" width="9.42578125" style="32" hidden="1" customWidth="1"/>
    <col min="32" max="32" width="0" style="33" hidden="1" customWidth="1"/>
    <col min="33" max="33" width="20.140625" hidden="1" customWidth="1"/>
  </cols>
  <sheetData>
    <row r="1" spans="1:34" s="11" customFormat="1" ht="60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8" t="s">
        <v>26</v>
      </c>
      <c r="AB1" s="9" t="s">
        <v>27</v>
      </c>
      <c r="AC1" s="8" t="s">
        <v>28</v>
      </c>
      <c r="AD1" s="10" t="s">
        <v>29</v>
      </c>
      <c r="AE1" s="8" t="s">
        <v>30</v>
      </c>
      <c r="AF1" s="8" t="s">
        <v>31</v>
      </c>
    </row>
    <row r="2" spans="1:34" s="22" customFormat="1" x14ac:dyDescent="0.25">
      <c r="A2" s="12">
        <v>1</v>
      </c>
      <c r="B2" s="13">
        <v>75</v>
      </c>
      <c r="C2" s="14" t="s">
        <v>32</v>
      </c>
      <c r="D2" s="15" t="s">
        <v>33</v>
      </c>
      <c r="E2" s="16"/>
      <c r="F2" s="17">
        <v>800</v>
      </c>
      <c r="G2" s="34">
        <v>31</v>
      </c>
      <c r="H2" s="12">
        <v>0</v>
      </c>
      <c r="I2" s="18">
        <f t="shared" ref="I2:I33" si="0">G2-H2</f>
        <v>31</v>
      </c>
      <c r="J2" s="17">
        <f t="shared" ref="J2:J65" si="1">F2/G2*I2</f>
        <v>800</v>
      </c>
      <c r="K2" s="34"/>
      <c r="L2" s="17">
        <f t="shared" ref="L2:L33" si="2">F2/30/8*1.25*K2</f>
        <v>0</v>
      </c>
      <c r="M2" s="12"/>
      <c r="N2" s="17">
        <f t="shared" ref="N2:N33" si="3">F2/30/8*1.25*M2</f>
        <v>0</v>
      </c>
      <c r="O2" s="12"/>
      <c r="P2" s="17">
        <f t="shared" ref="P2:P33" si="4">F2/30/8*1.5*O2</f>
        <v>0</v>
      </c>
      <c r="Q2" s="12">
        <f t="shared" ref="Q2:Q33" si="5">I2</f>
        <v>31</v>
      </c>
      <c r="R2" s="12">
        <v>200</v>
      </c>
      <c r="S2" s="17">
        <f t="shared" ref="S2:S18" si="6">R2/G2*Q2</f>
        <v>200</v>
      </c>
      <c r="T2" s="12">
        <f>100/G2*I2</f>
        <v>100</v>
      </c>
      <c r="U2" s="12">
        <v>100</v>
      </c>
      <c r="V2" s="12">
        <v>0</v>
      </c>
      <c r="W2" s="12">
        <v>0</v>
      </c>
      <c r="X2" s="17">
        <f>J2+L2+N2+P2+S2+T2+U2+V2-W2</f>
        <v>1200</v>
      </c>
      <c r="Y2" s="12"/>
      <c r="Z2" s="19"/>
      <c r="AA2" s="17">
        <f t="shared" ref="AA2:AA65" si="7">J2</f>
        <v>800</v>
      </c>
      <c r="AB2" s="20">
        <f t="shared" ref="AB2:AB21" si="8">X2-AA2</f>
        <v>400</v>
      </c>
      <c r="AC2" s="20" t="e">
        <f t="shared" ref="AC2:AC21" si="9">AE2+AB2</f>
        <v>#N/A</v>
      </c>
      <c r="AD2" s="20" t="e">
        <f t="shared" ref="AD2:AD33" si="10">X2-AC2</f>
        <v>#N/A</v>
      </c>
      <c r="AE2" s="17" t="e">
        <f>VLOOKUP(B2,[2]Sheet1!$B$4:$J$188,9,0)</f>
        <v>#N/A</v>
      </c>
      <c r="AF2" s="20" t="e">
        <f t="shared" ref="AF2:AF33" si="11">X2-AE2</f>
        <v>#N/A</v>
      </c>
      <c r="AG2" s="21" t="str">
        <f>VLOOKUP(B2,'[3]MASTER -COLOR CODE'!$B$6:$C$337,2,0)</f>
        <v>MUHAMMAD SHAHBAZ</v>
      </c>
      <c r="AH2" s="21"/>
    </row>
    <row r="3" spans="1:34" s="22" customFormat="1" x14ac:dyDescent="0.25">
      <c r="A3" s="12">
        <v>2</v>
      </c>
      <c r="B3" s="13">
        <v>88</v>
      </c>
      <c r="C3" s="14" t="s">
        <v>34</v>
      </c>
      <c r="D3" s="15" t="s">
        <v>35</v>
      </c>
      <c r="E3" s="16"/>
      <c r="F3" s="17">
        <v>800</v>
      </c>
      <c r="G3" s="12">
        <v>31</v>
      </c>
      <c r="H3" s="12">
        <v>0</v>
      </c>
      <c r="I3" s="18">
        <f t="shared" si="0"/>
        <v>31</v>
      </c>
      <c r="J3" s="17">
        <f t="shared" si="1"/>
        <v>800</v>
      </c>
      <c r="K3" s="34"/>
      <c r="L3" s="17">
        <f t="shared" si="2"/>
        <v>0</v>
      </c>
      <c r="M3" s="12"/>
      <c r="N3" s="17">
        <f t="shared" si="3"/>
        <v>0</v>
      </c>
      <c r="O3" s="12"/>
      <c r="P3" s="17">
        <f t="shared" si="4"/>
        <v>0</v>
      </c>
      <c r="Q3" s="12">
        <f t="shared" si="5"/>
        <v>31</v>
      </c>
      <c r="R3" s="12">
        <v>200</v>
      </c>
      <c r="S3" s="17">
        <f t="shared" si="6"/>
        <v>200</v>
      </c>
      <c r="T3" s="12">
        <f>100/G3*I3</f>
        <v>100</v>
      </c>
      <c r="U3" s="12">
        <v>100</v>
      </c>
      <c r="V3" s="12">
        <v>0</v>
      </c>
      <c r="W3" s="12">
        <v>0</v>
      </c>
      <c r="X3" s="17">
        <f t="shared" ref="X3:X33" si="12">J3+L3+N3+P3+S3+T3+U3+V3-W3</f>
        <v>1200</v>
      </c>
      <c r="Y3" s="12"/>
      <c r="Z3" s="19"/>
      <c r="AA3" s="17">
        <f t="shared" si="7"/>
        <v>800</v>
      </c>
      <c r="AB3" s="20">
        <f t="shared" si="8"/>
        <v>400</v>
      </c>
      <c r="AC3" s="20" t="e">
        <f t="shared" si="9"/>
        <v>#N/A</v>
      </c>
      <c r="AD3" s="20" t="e">
        <f t="shared" si="10"/>
        <v>#N/A</v>
      </c>
      <c r="AE3" s="17" t="e">
        <f>VLOOKUP(B3,[2]Sheet1!$B$4:$J$188,9,0)</f>
        <v>#N/A</v>
      </c>
      <c r="AF3" s="20" t="e">
        <f t="shared" si="11"/>
        <v>#N/A</v>
      </c>
      <c r="AG3" s="21" t="str">
        <f>VLOOKUP(B3,'[3]MASTER -COLOR CODE'!$B$6:$C$337,2,0)</f>
        <v>AMIR SHAHZAD GHULAM RASOOL</v>
      </c>
      <c r="AH3" s="21"/>
    </row>
    <row r="4" spans="1:34" s="22" customFormat="1" x14ac:dyDescent="0.25">
      <c r="A4" s="12">
        <v>3</v>
      </c>
      <c r="B4" s="13">
        <v>182</v>
      </c>
      <c r="C4" s="14" t="s">
        <v>36</v>
      </c>
      <c r="D4" s="15" t="s">
        <v>37</v>
      </c>
      <c r="E4" s="16"/>
      <c r="F4" s="17">
        <v>800</v>
      </c>
      <c r="G4" s="12">
        <v>31</v>
      </c>
      <c r="H4" s="12">
        <v>0</v>
      </c>
      <c r="I4" s="18">
        <f t="shared" si="0"/>
        <v>31</v>
      </c>
      <c r="J4" s="17">
        <f t="shared" si="1"/>
        <v>800</v>
      </c>
      <c r="K4" s="34"/>
      <c r="L4" s="17">
        <f t="shared" si="2"/>
        <v>0</v>
      </c>
      <c r="M4" s="12"/>
      <c r="N4" s="17">
        <f t="shared" si="3"/>
        <v>0</v>
      </c>
      <c r="O4" s="12"/>
      <c r="P4" s="17">
        <f t="shared" si="4"/>
        <v>0</v>
      </c>
      <c r="Q4" s="12">
        <f t="shared" si="5"/>
        <v>31</v>
      </c>
      <c r="R4" s="12">
        <v>200</v>
      </c>
      <c r="S4" s="17">
        <f t="shared" si="6"/>
        <v>200</v>
      </c>
      <c r="T4" s="12">
        <v>100</v>
      </c>
      <c r="U4" s="12">
        <v>100</v>
      </c>
      <c r="V4" s="12">
        <v>0</v>
      </c>
      <c r="W4" s="12">
        <v>0</v>
      </c>
      <c r="X4" s="17">
        <f t="shared" si="12"/>
        <v>1200</v>
      </c>
      <c r="Y4" s="12"/>
      <c r="Z4" s="19"/>
      <c r="AA4" s="17">
        <f t="shared" si="7"/>
        <v>800</v>
      </c>
      <c r="AB4" s="20">
        <f t="shared" si="8"/>
        <v>400</v>
      </c>
      <c r="AC4" s="20" t="e">
        <f t="shared" si="9"/>
        <v>#N/A</v>
      </c>
      <c r="AD4" s="20" t="e">
        <f t="shared" si="10"/>
        <v>#N/A</v>
      </c>
      <c r="AE4" s="17" t="e">
        <f>VLOOKUP(B4,[2]Sheet1!$B$4:$J$188,9,0)</f>
        <v>#N/A</v>
      </c>
      <c r="AF4" s="20" t="e">
        <f t="shared" si="11"/>
        <v>#N/A</v>
      </c>
      <c r="AG4" s="21" t="str">
        <f>VLOOKUP(B4,'[3]MASTER -COLOR CODE'!$B$6:$C$337,2,0)</f>
        <v>HORA MONI MOJMDER ANOWTA KUMARR</v>
      </c>
      <c r="AH4" s="21"/>
    </row>
    <row r="5" spans="1:34" s="22" customFormat="1" x14ac:dyDescent="0.25">
      <c r="A5" s="12">
        <v>4</v>
      </c>
      <c r="B5" s="13">
        <v>189</v>
      </c>
      <c r="C5" s="14" t="s">
        <v>38</v>
      </c>
      <c r="D5" s="15" t="s">
        <v>39</v>
      </c>
      <c r="E5" s="16"/>
      <c r="F5" s="17">
        <v>800</v>
      </c>
      <c r="G5" s="12">
        <v>31</v>
      </c>
      <c r="H5" s="12">
        <v>0</v>
      </c>
      <c r="I5" s="18">
        <f t="shared" si="0"/>
        <v>31</v>
      </c>
      <c r="J5" s="17">
        <f t="shared" si="1"/>
        <v>800</v>
      </c>
      <c r="K5" s="34"/>
      <c r="L5" s="17">
        <f t="shared" si="2"/>
        <v>0</v>
      </c>
      <c r="M5" s="12"/>
      <c r="N5" s="17">
        <f t="shared" si="3"/>
        <v>0</v>
      </c>
      <c r="O5" s="12"/>
      <c r="P5" s="17">
        <f t="shared" si="4"/>
        <v>0</v>
      </c>
      <c r="Q5" s="12">
        <f t="shared" si="5"/>
        <v>31</v>
      </c>
      <c r="R5" s="12">
        <v>200</v>
      </c>
      <c r="S5" s="17">
        <f t="shared" si="6"/>
        <v>200</v>
      </c>
      <c r="T5" s="12">
        <f t="shared" ref="T5:T13" si="13">100/G5*I5</f>
        <v>100</v>
      </c>
      <c r="U5" s="12">
        <v>100</v>
      </c>
      <c r="V5" s="12">
        <v>0</v>
      </c>
      <c r="W5" s="12">
        <v>0</v>
      </c>
      <c r="X5" s="17">
        <f t="shared" si="12"/>
        <v>1200</v>
      </c>
      <c r="Y5" s="12"/>
      <c r="Z5" s="19"/>
      <c r="AA5" s="17">
        <f t="shared" si="7"/>
        <v>800</v>
      </c>
      <c r="AB5" s="20">
        <f t="shared" si="8"/>
        <v>400</v>
      </c>
      <c r="AC5" s="20" t="e">
        <f t="shared" si="9"/>
        <v>#N/A</v>
      </c>
      <c r="AD5" s="20" t="e">
        <f t="shared" si="10"/>
        <v>#N/A</v>
      </c>
      <c r="AE5" s="17" t="e">
        <f>VLOOKUP(B5,[2]Sheet1!$B$4:$J$188,9,0)</f>
        <v>#N/A</v>
      </c>
      <c r="AF5" s="20" t="e">
        <f t="shared" si="11"/>
        <v>#N/A</v>
      </c>
      <c r="AG5" s="21" t="str">
        <f>VLOOKUP(B5,'[3]MASTER -COLOR CODE'!$B$6:$C$337,2,0)</f>
        <v>KAMAL ABDUL REHMAN</v>
      </c>
      <c r="AH5" s="21"/>
    </row>
    <row r="6" spans="1:34" s="22" customFormat="1" x14ac:dyDescent="0.25">
      <c r="A6" s="12">
        <v>5</v>
      </c>
      <c r="B6" s="13">
        <v>213</v>
      </c>
      <c r="C6" s="14" t="s">
        <v>40</v>
      </c>
      <c r="D6" s="15" t="s">
        <v>41</v>
      </c>
      <c r="E6" s="16"/>
      <c r="F6" s="17">
        <v>800</v>
      </c>
      <c r="G6" s="12">
        <v>31</v>
      </c>
      <c r="H6" s="12">
        <v>0</v>
      </c>
      <c r="I6" s="18">
        <f t="shared" si="0"/>
        <v>31</v>
      </c>
      <c r="J6" s="17">
        <f t="shared" si="1"/>
        <v>800</v>
      </c>
      <c r="K6" s="34"/>
      <c r="L6" s="17">
        <f t="shared" si="2"/>
        <v>0</v>
      </c>
      <c r="M6" s="12"/>
      <c r="N6" s="17">
        <f t="shared" si="3"/>
        <v>0</v>
      </c>
      <c r="O6" s="12"/>
      <c r="P6" s="17">
        <f t="shared" si="4"/>
        <v>0</v>
      </c>
      <c r="Q6" s="12">
        <f t="shared" si="5"/>
        <v>31</v>
      </c>
      <c r="R6" s="12">
        <v>200</v>
      </c>
      <c r="S6" s="17">
        <f t="shared" si="6"/>
        <v>200</v>
      </c>
      <c r="T6" s="12">
        <f t="shared" si="13"/>
        <v>100</v>
      </c>
      <c r="U6" s="12">
        <v>100</v>
      </c>
      <c r="V6" s="12">
        <v>0</v>
      </c>
      <c r="W6" s="12">
        <v>0</v>
      </c>
      <c r="X6" s="17">
        <f t="shared" si="12"/>
        <v>1200</v>
      </c>
      <c r="Y6" s="12"/>
      <c r="Z6" s="19"/>
      <c r="AA6" s="17">
        <f t="shared" si="7"/>
        <v>800</v>
      </c>
      <c r="AB6" s="20">
        <f t="shared" si="8"/>
        <v>400</v>
      </c>
      <c r="AC6" s="20" t="e">
        <f t="shared" si="9"/>
        <v>#N/A</v>
      </c>
      <c r="AD6" s="20" t="e">
        <f t="shared" si="10"/>
        <v>#N/A</v>
      </c>
      <c r="AE6" s="17" t="e">
        <f>VLOOKUP(B6,[2]Sheet1!$B$4:$J$188,9,0)</f>
        <v>#N/A</v>
      </c>
      <c r="AF6" s="20" t="e">
        <f t="shared" si="11"/>
        <v>#N/A</v>
      </c>
      <c r="AG6" s="21" t="str">
        <f>VLOOKUP(B6,'[3]MASTER -COLOR CODE'!$B$6:$C$337,2,0)</f>
        <v>MUBARAK KALU BHUIYAN</v>
      </c>
      <c r="AH6" s="21"/>
    </row>
    <row r="7" spans="1:34" s="22" customFormat="1" x14ac:dyDescent="0.25">
      <c r="A7" s="12">
        <v>6</v>
      </c>
      <c r="B7" s="13">
        <v>231</v>
      </c>
      <c r="C7" s="14" t="s">
        <v>42</v>
      </c>
      <c r="D7" s="15" t="s">
        <v>43</v>
      </c>
      <c r="E7" s="16"/>
      <c r="F7" s="17">
        <v>800</v>
      </c>
      <c r="G7" s="12">
        <v>31</v>
      </c>
      <c r="H7" s="12">
        <v>0</v>
      </c>
      <c r="I7" s="18">
        <f t="shared" si="0"/>
        <v>31</v>
      </c>
      <c r="J7" s="17">
        <f t="shared" si="1"/>
        <v>800</v>
      </c>
      <c r="K7" s="34"/>
      <c r="L7" s="17">
        <f t="shared" si="2"/>
        <v>0</v>
      </c>
      <c r="M7" s="12"/>
      <c r="N7" s="17">
        <f t="shared" si="3"/>
        <v>0</v>
      </c>
      <c r="O7" s="12"/>
      <c r="P7" s="17">
        <f t="shared" si="4"/>
        <v>0</v>
      </c>
      <c r="Q7" s="12">
        <f t="shared" si="5"/>
        <v>31</v>
      </c>
      <c r="R7" s="12">
        <v>200</v>
      </c>
      <c r="S7" s="17">
        <f t="shared" si="6"/>
        <v>200</v>
      </c>
      <c r="T7" s="12">
        <f t="shared" si="13"/>
        <v>100</v>
      </c>
      <c r="U7" s="12">
        <v>100</v>
      </c>
      <c r="V7" s="12">
        <v>0</v>
      </c>
      <c r="W7" s="12">
        <v>0</v>
      </c>
      <c r="X7" s="17">
        <f t="shared" si="12"/>
        <v>1200</v>
      </c>
      <c r="Y7" s="12"/>
      <c r="Z7" s="19"/>
      <c r="AA7" s="17">
        <f t="shared" si="7"/>
        <v>800</v>
      </c>
      <c r="AB7" s="20">
        <f t="shared" si="8"/>
        <v>400</v>
      </c>
      <c r="AC7" s="20" t="e">
        <f t="shared" si="9"/>
        <v>#N/A</v>
      </c>
      <c r="AD7" s="20" t="e">
        <f t="shared" si="10"/>
        <v>#N/A</v>
      </c>
      <c r="AE7" s="17" t="e">
        <f>VLOOKUP(B7,[2]Sheet1!$B$4:$J$188,9,0)</f>
        <v>#N/A</v>
      </c>
      <c r="AF7" s="20" t="e">
        <f t="shared" si="11"/>
        <v>#N/A</v>
      </c>
      <c r="AG7" s="21" t="str">
        <f>VLOOKUP(B7,'[3]MASTER -COLOR CODE'!$B$6:$C$337,2,0)</f>
        <v xml:space="preserve">MORSHAD ALAM ABUL KALAM </v>
      </c>
      <c r="AH7" s="21"/>
    </row>
    <row r="8" spans="1:34" s="22" customFormat="1" x14ac:dyDescent="0.25">
      <c r="A8" s="12">
        <v>7</v>
      </c>
      <c r="B8" s="13">
        <v>234</v>
      </c>
      <c r="C8" s="14" t="s">
        <v>44</v>
      </c>
      <c r="D8" s="15" t="s">
        <v>45</v>
      </c>
      <c r="E8" s="16"/>
      <c r="F8" s="17">
        <v>800</v>
      </c>
      <c r="G8" s="12">
        <v>31</v>
      </c>
      <c r="H8" s="12">
        <v>0</v>
      </c>
      <c r="I8" s="18">
        <f t="shared" si="0"/>
        <v>31</v>
      </c>
      <c r="J8" s="17">
        <f t="shared" si="1"/>
        <v>800</v>
      </c>
      <c r="K8" s="34"/>
      <c r="L8" s="17">
        <f t="shared" si="2"/>
        <v>0</v>
      </c>
      <c r="M8" s="12"/>
      <c r="N8" s="17">
        <f t="shared" si="3"/>
        <v>0</v>
      </c>
      <c r="O8" s="12"/>
      <c r="P8" s="17">
        <f t="shared" si="4"/>
        <v>0</v>
      </c>
      <c r="Q8" s="12">
        <f t="shared" si="5"/>
        <v>31</v>
      </c>
      <c r="R8" s="12">
        <v>200</v>
      </c>
      <c r="S8" s="17">
        <f t="shared" si="6"/>
        <v>200</v>
      </c>
      <c r="T8" s="12">
        <f t="shared" si="13"/>
        <v>100</v>
      </c>
      <c r="U8" s="12">
        <v>100</v>
      </c>
      <c r="V8" s="12">
        <v>0</v>
      </c>
      <c r="W8" s="12">
        <v>0</v>
      </c>
      <c r="X8" s="17">
        <f t="shared" si="12"/>
        <v>1200</v>
      </c>
      <c r="Y8" s="12"/>
      <c r="Z8" s="19"/>
      <c r="AA8" s="17">
        <f t="shared" si="7"/>
        <v>800</v>
      </c>
      <c r="AB8" s="20">
        <f t="shared" si="8"/>
        <v>400</v>
      </c>
      <c r="AC8" s="20" t="e">
        <f t="shared" si="9"/>
        <v>#N/A</v>
      </c>
      <c r="AD8" s="20" t="e">
        <f t="shared" si="10"/>
        <v>#N/A</v>
      </c>
      <c r="AE8" s="17" t="e">
        <f>VLOOKUP(B8,[2]Sheet1!$B$4:$J$188,9,0)</f>
        <v>#N/A</v>
      </c>
      <c r="AF8" s="20" t="e">
        <f t="shared" si="11"/>
        <v>#N/A</v>
      </c>
      <c r="AG8" s="21" t="str">
        <f>VLOOKUP(B8,'[3]MASTER -COLOR CODE'!$B$6:$C$337,2,0)</f>
        <v>AZIZAR MD. ROSHAN</v>
      </c>
      <c r="AH8" s="21"/>
    </row>
    <row r="9" spans="1:34" s="22" customFormat="1" x14ac:dyDescent="0.25">
      <c r="A9" s="12">
        <v>8</v>
      </c>
      <c r="B9" s="13">
        <v>245</v>
      </c>
      <c r="C9" s="14" t="s">
        <v>46</v>
      </c>
      <c r="D9" s="15" t="s">
        <v>47</v>
      </c>
      <c r="E9" s="16"/>
      <c r="F9" s="17">
        <v>800</v>
      </c>
      <c r="G9" s="12">
        <v>31</v>
      </c>
      <c r="H9" s="12">
        <v>0</v>
      </c>
      <c r="I9" s="18">
        <f t="shared" si="0"/>
        <v>31</v>
      </c>
      <c r="J9" s="17">
        <f t="shared" si="1"/>
        <v>800</v>
      </c>
      <c r="K9" s="34"/>
      <c r="L9" s="17">
        <f t="shared" si="2"/>
        <v>0</v>
      </c>
      <c r="M9" s="12"/>
      <c r="N9" s="17">
        <f t="shared" si="3"/>
        <v>0</v>
      </c>
      <c r="O9" s="12"/>
      <c r="P9" s="17">
        <f t="shared" si="4"/>
        <v>0</v>
      </c>
      <c r="Q9" s="12">
        <f t="shared" si="5"/>
        <v>31</v>
      </c>
      <c r="R9" s="12">
        <v>200</v>
      </c>
      <c r="S9" s="17">
        <f t="shared" si="6"/>
        <v>200</v>
      </c>
      <c r="T9" s="12">
        <f t="shared" si="13"/>
        <v>100</v>
      </c>
      <c r="U9" s="12">
        <v>100</v>
      </c>
      <c r="V9" s="12">
        <v>0</v>
      </c>
      <c r="W9" s="12">
        <v>0</v>
      </c>
      <c r="X9" s="17">
        <f t="shared" si="12"/>
        <v>1200</v>
      </c>
      <c r="Y9" s="12"/>
      <c r="Z9" s="19"/>
      <c r="AA9" s="17">
        <f t="shared" si="7"/>
        <v>800</v>
      </c>
      <c r="AB9" s="20">
        <f t="shared" si="8"/>
        <v>400</v>
      </c>
      <c r="AC9" s="20" t="e">
        <f t="shared" si="9"/>
        <v>#N/A</v>
      </c>
      <c r="AD9" s="20" t="e">
        <f t="shared" si="10"/>
        <v>#N/A</v>
      </c>
      <c r="AE9" s="17" t="e">
        <f>VLOOKUP(B9,[2]Sheet1!$B$4:$J$188,9,0)</f>
        <v>#N/A</v>
      </c>
      <c r="AF9" s="20" t="e">
        <f t="shared" si="11"/>
        <v>#N/A</v>
      </c>
      <c r="AG9" s="21" t="str">
        <f>VLOOKUP(B9,'[3]MASTER -COLOR CODE'!$B$6:$C$337,2,0)</f>
        <v>ABU BAKKAR LATE ABDUL GONU MIAH</v>
      </c>
      <c r="AH9" s="21"/>
    </row>
    <row r="10" spans="1:34" s="22" customFormat="1" x14ac:dyDescent="0.25">
      <c r="A10" s="12">
        <v>9</v>
      </c>
      <c r="B10" s="13">
        <v>247</v>
      </c>
      <c r="C10" s="14" t="s">
        <v>48</v>
      </c>
      <c r="D10" s="15" t="s">
        <v>49</v>
      </c>
      <c r="E10" s="16"/>
      <c r="F10" s="17">
        <v>800</v>
      </c>
      <c r="G10" s="12">
        <v>31</v>
      </c>
      <c r="H10" s="12">
        <v>0</v>
      </c>
      <c r="I10" s="18">
        <f t="shared" si="0"/>
        <v>31</v>
      </c>
      <c r="J10" s="17">
        <f t="shared" si="1"/>
        <v>800</v>
      </c>
      <c r="K10" s="34"/>
      <c r="L10" s="17">
        <f t="shared" si="2"/>
        <v>0</v>
      </c>
      <c r="M10" s="12"/>
      <c r="N10" s="17">
        <f t="shared" si="3"/>
        <v>0</v>
      </c>
      <c r="O10" s="12"/>
      <c r="P10" s="17">
        <f t="shared" si="4"/>
        <v>0</v>
      </c>
      <c r="Q10" s="12">
        <f t="shared" si="5"/>
        <v>31</v>
      </c>
      <c r="R10" s="12">
        <v>200</v>
      </c>
      <c r="S10" s="17">
        <f t="shared" si="6"/>
        <v>200</v>
      </c>
      <c r="T10" s="12">
        <f t="shared" si="13"/>
        <v>100</v>
      </c>
      <c r="U10" s="12">
        <v>100</v>
      </c>
      <c r="V10" s="12">
        <v>0</v>
      </c>
      <c r="W10" s="12">
        <v>0</v>
      </c>
      <c r="X10" s="17">
        <f t="shared" si="12"/>
        <v>1200</v>
      </c>
      <c r="Y10" s="12"/>
      <c r="Z10" s="19"/>
      <c r="AA10" s="17">
        <f t="shared" si="7"/>
        <v>800</v>
      </c>
      <c r="AB10" s="20">
        <f t="shared" si="8"/>
        <v>400</v>
      </c>
      <c r="AC10" s="20" t="e">
        <f t="shared" si="9"/>
        <v>#N/A</v>
      </c>
      <c r="AD10" s="20" t="e">
        <f t="shared" si="10"/>
        <v>#N/A</v>
      </c>
      <c r="AE10" s="17" t="e">
        <f>VLOOKUP(B10,[2]Sheet1!$B$4:$J$188,9,0)</f>
        <v>#N/A</v>
      </c>
      <c r="AF10" s="20" t="e">
        <f t="shared" si="11"/>
        <v>#N/A</v>
      </c>
      <c r="AG10" s="21" t="str">
        <f>VLOOKUP(B10,'[3]MASTER -COLOR CODE'!$B$6:$C$337,2,0)</f>
        <v>NAZRUL ABDUL MALAK</v>
      </c>
      <c r="AH10" s="21"/>
    </row>
    <row r="11" spans="1:34" s="22" customFormat="1" x14ac:dyDescent="0.25">
      <c r="A11" s="12">
        <v>10</v>
      </c>
      <c r="B11" s="13">
        <v>250</v>
      </c>
      <c r="C11" s="14" t="s">
        <v>50</v>
      </c>
      <c r="D11" s="15" t="s">
        <v>51</v>
      </c>
      <c r="E11" s="16"/>
      <c r="F11" s="17">
        <v>800</v>
      </c>
      <c r="G11" s="12">
        <v>31</v>
      </c>
      <c r="H11" s="12">
        <v>0</v>
      </c>
      <c r="I11" s="18">
        <f t="shared" si="0"/>
        <v>31</v>
      </c>
      <c r="J11" s="17">
        <f t="shared" si="1"/>
        <v>800</v>
      </c>
      <c r="K11" s="34"/>
      <c r="L11" s="17">
        <f t="shared" si="2"/>
        <v>0</v>
      </c>
      <c r="M11" s="12"/>
      <c r="N11" s="17">
        <f t="shared" si="3"/>
        <v>0</v>
      </c>
      <c r="O11" s="12"/>
      <c r="P11" s="17">
        <f t="shared" si="4"/>
        <v>0</v>
      </c>
      <c r="Q11" s="12">
        <f t="shared" si="5"/>
        <v>31</v>
      </c>
      <c r="R11" s="12">
        <v>200</v>
      </c>
      <c r="S11" s="17">
        <f t="shared" si="6"/>
        <v>200</v>
      </c>
      <c r="T11" s="12">
        <f t="shared" si="13"/>
        <v>100</v>
      </c>
      <c r="U11" s="12">
        <v>100</v>
      </c>
      <c r="V11" s="12">
        <v>0</v>
      </c>
      <c r="W11" s="12">
        <v>0</v>
      </c>
      <c r="X11" s="17">
        <f t="shared" si="12"/>
        <v>1200</v>
      </c>
      <c r="Y11" s="12"/>
      <c r="Z11" s="19"/>
      <c r="AA11" s="17">
        <f t="shared" si="7"/>
        <v>800</v>
      </c>
      <c r="AB11" s="20">
        <f t="shared" si="8"/>
        <v>400</v>
      </c>
      <c r="AC11" s="20" t="e">
        <f t="shared" si="9"/>
        <v>#N/A</v>
      </c>
      <c r="AD11" s="20" t="e">
        <f t="shared" si="10"/>
        <v>#N/A</v>
      </c>
      <c r="AE11" s="17" t="e">
        <f>VLOOKUP(B11,[2]Sheet1!$B$4:$J$188,9,0)</f>
        <v>#N/A</v>
      </c>
      <c r="AF11" s="20" t="e">
        <f t="shared" si="11"/>
        <v>#N/A</v>
      </c>
      <c r="AG11" s="21" t="str">
        <f>VLOOKUP(B11,'[3]MASTER -COLOR CODE'!$B$6:$C$337,2,0)</f>
        <v>JAKIR HOSSAIN SIRAJ UDDOULA</v>
      </c>
      <c r="AH11" s="21"/>
    </row>
    <row r="12" spans="1:34" s="22" customFormat="1" x14ac:dyDescent="0.25">
      <c r="A12" s="12">
        <v>11</v>
      </c>
      <c r="B12" s="13">
        <v>265</v>
      </c>
      <c r="C12" s="14" t="s">
        <v>52</v>
      </c>
      <c r="D12" s="15" t="s">
        <v>53</v>
      </c>
      <c r="E12" s="16"/>
      <c r="F12" s="17">
        <v>800</v>
      </c>
      <c r="G12" s="12">
        <v>31</v>
      </c>
      <c r="H12" s="12">
        <v>0</v>
      </c>
      <c r="I12" s="18">
        <f t="shared" si="0"/>
        <v>31</v>
      </c>
      <c r="J12" s="17">
        <f t="shared" si="1"/>
        <v>800</v>
      </c>
      <c r="K12" s="34"/>
      <c r="L12" s="17">
        <f t="shared" si="2"/>
        <v>0</v>
      </c>
      <c r="M12" s="12"/>
      <c r="N12" s="17">
        <f t="shared" si="3"/>
        <v>0</v>
      </c>
      <c r="O12" s="12"/>
      <c r="P12" s="17">
        <f t="shared" si="4"/>
        <v>0</v>
      </c>
      <c r="Q12" s="12">
        <f t="shared" si="5"/>
        <v>31</v>
      </c>
      <c r="R12" s="12">
        <v>200</v>
      </c>
      <c r="S12" s="17">
        <f t="shared" si="6"/>
        <v>200</v>
      </c>
      <c r="T12" s="12">
        <f t="shared" si="13"/>
        <v>100</v>
      </c>
      <c r="U12" s="12">
        <v>200</v>
      </c>
      <c r="V12" s="12">
        <v>0</v>
      </c>
      <c r="W12" s="12">
        <v>0</v>
      </c>
      <c r="X12" s="17">
        <f t="shared" si="12"/>
        <v>1300</v>
      </c>
      <c r="Y12" s="12"/>
      <c r="Z12" s="19"/>
      <c r="AA12" s="17">
        <f t="shared" si="7"/>
        <v>800</v>
      </c>
      <c r="AB12" s="20">
        <f t="shared" si="8"/>
        <v>500</v>
      </c>
      <c r="AC12" s="20" t="e">
        <f t="shared" si="9"/>
        <v>#N/A</v>
      </c>
      <c r="AD12" s="20" t="e">
        <f t="shared" si="10"/>
        <v>#N/A</v>
      </c>
      <c r="AE12" s="17" t="e">
        <f>VLOOKUP(B12,[2]Sheet1!$B$4:$J$188,9,0)</f>
        <v>#N/A</v>
      </c>
      <c r="AF12" s="20" t="e">
        <f t="shared" si="11"/>
        <v>#N/A</v>
      </c>
      <c r="AG12" s="21" t="str">
        <f>VLOOKUP(B12,'[3]MASTER -COLOR CODE'!$B$6:$C$337,2,0)</f>
        <v>JAMAL ABDUL RAHMAN</v>
      </c>
      <c r="AH12" s="21"/>
    </row>
    <row r="13" spans="1:34" s="22" customFormat="1" x14ac:dyDescent="0.25">
      <c r="A13" s="12">
        <v>12</v>
      </c>
      <c r="B13" s="13">
        <v>412</v>
      </c>
      <c r="C13" s="14" t="s">
        <v>54</v>
      </c>
      <c r="D13" s="15" t="s">
        <v>55</v>
      </c>
      <c r="E13" s="16"/>
      <c r="F13" s="17">
        <v>800</v>
      </c>
      <c r="G13" s="12">
        <v>31</v>
      </c>
      <c r="H13" s="12">
        <v>2</v>
      </c>
      <c r="I13" s="18">
        <f t="shared" si="0"/>
        <v>29</v>
      </c>
      <c r="J13" s="17">
        <f t="shared" si="1"/>
        <v>748.38709677419354</v>
      </c>
      <c r="K13" s="34"/>
      <c r="L13" s="17">
        <f t="shared" si="2"/>
        <v>0</v>
      </c>
      <c r="M13" s="12"/>
      <c r="N13" s="17">
        <f t="shared" si="3"/>
        <v>0</v>
      </c>
      <c r="O13" s="12"/>
      <c r="P13" s="17">
        <f t="shared" si="4"/>
        <v>0</v>
      </c>
      <c r="Q13" s="12">
        <f>I13</f>
        <v>29</v>
      </c>
      <c r="R13" s="12">
        <v>200</v>
      </c>
      <c r="S13" s="17">
        <f t="shared" si="6"/>
        <v>187.09677419354838</v>
      </c>
      <c r="T13" s="12">
        <f t="shared" si="13"/>
        <v>93.548387096774192</v>
      </c>
      <c r="U13" s="12">
        <v>200</v>
      </c>
      <c r="V13" s="12">
        <v>0</v>
      </c>
      <c r="W13" s="12">
        <v>0</v>
      </c>
      <c r="X13" s="17">
        <f t="shared" si="12"/>
        <v>1229.0322580645161</v>
      </c>
      <c r="Y13" s="12"/>
      <c r="Z13" s="19"/>
      <c r="AA13" s="17">
        <f t="shared" si="7"/>
        <v>748.38709677419354</v>
      </c>
      <c r="AB13" s="20">
        <f t="shared" si="8"/>
        <v>480.64516129032256</v>
      </c>
      <c r="AC13" s="20" t="e">
        <f t="shared" si="9"/>
        <v>#N/A</v>
      </c>
      <c r="AD13" s="20" t="e">
        <f t="shared" si="10"/>
        <v>#N/A</v>
      </c>
      <c r="AE13" s="17" t="e">
        <f>VLOOKUP(B13,[2]Sheet1!$B$4:$J$188,9,0)</f>
        <v>#N/A</v>
      </c>
      <c r="AF13" s="20" t="e">
        <f t="shared" si="11"/>
        <v>#N/A</v>
      </c>
      <c r="AG13" s="21" t="str">
        <f>VLOOKUP(B13,'[3]MASTER -COLOR CODE'!$B$6:$C$337,2,0)</f>
        <v>DEBU BAIRAGI BAIRAGI DHIREN</v>
      </c>
      <c r="AH13" s="21"/>
    </row>
    <row r="14" spans="1:34" s="22" customFormat="1" x14ac:dyDescent="0.25">
      <c r="A14" s="12">
        <v>13</v>
      </c>
      <c r="B14" s="13">
        <v>469</v>
      </c>
      <c r="C14" s="14" t="s">
        <v>56</v>
      </c>
      <c r="D14" s="15" t="s">
        <v>57</v>
      </c>
      <c r="E14" s="16"/>
      <c r="F14" s="17">
        <v>800</v>
      </c>
      <c r="G14" s="12">
        <v>31</v>
      </c>
      <c r="H14" s="12">
        <v>3</v>
      </c>
      <c r="I14" s="18">
        <f t="shared" si="0"/>
        <v>28</v>
      </c>
      <c r="J14" s="17">
        <f t="shared" si="1"/>
        <v>722.58064516129025</v>
      </c>
      <c r="K14" s="34"/>
      <c r="L14" s="17">
        <f t="shared" si="2"/>
        <v>0</v>
      </c>
      <c r="M14" s="12"/>
      <c r="N14" s="17">
        <f t="shared" si="3"/>
        <v>0</v>
      </c>
      <c r="O14" s="12"/>
      <c r="P14" s="17">
        <f t="shared" si="4"/>
        <v>0</v>
      </c>
      <c r="Q14" s="12">
        <f t="shared" si="5"/>
        <v>28</v>
      </c>
      <c r="R14" s="12">
        <v>200</v>
      </c>
      <c r="S14" s="17">
        <f t="shared" si="6"/>
        <v>180.64516129032256</v>
      </c>
      <c r="T14" s="12">
        <v>100</v>
      </c>
      <c r="U14" s="12">
        <v>200</v>
      </c>
      <c r="V14" s="12">
        <v>0</v>
      </c>
      <c r="W14" s="12">
        <v>0</v>
      </c>
      <c r="X14" s="17">
        <f t="shared" si="12"/>
        <v>1203.2258064516127</v>
      </c>
      <c r="Y14" s="12"/>
      <c r="Z14" s="19"/>
      <c r="AA14" s="17">
        <f t="shared" si="7"/>
        <v>722.58064516129025</v>
      </c>
      <c r="AB14" s="20">
        <f t="shared" si="8"/>
        <v>480.64516129032245</v>
      </c>
      <c r="AC14" s="20" t="e">
        <f t="shared" si="9"/>
        <v>#N/A</v>
      </c>
      <c r="AD14" s="20" t="e">
        <f t="shared" si="10"/>
        <v>#N/A</v>
      </c>
      <c r="AE14" s="17" t="e">
        <f>VLOOKUP(B14,[2]Sheet1!$B$4:$J$188,9,0)</f>
        <v>#N/A</v>
      </c>
      <c r="AF14" s="20" t="e">
        <f t="shared" si="11"/>
        <v>#N/A</v>
      </c>
      <c r="AG14" s="21" t="str">
        <f>VLOOKUP(B14,'[3]MASTER -COLOR CODE'!$B$6:$C$337,2,0)</f>
        <v>LALAN PARSAD</v>
      </c>
      <c r="AH14" s="21"/>
    </row>
    <row r="15" spans="1:34" s="22" customFormat="1" x14ac:dyDescent="0.25">
      <c r="A15" s="12">
        <v>14</v>
      </c>
      <c r="B15" s="13">
        <v>505</v>
      </c>
      <c r="C15" s="14" t="s">
        <v>58</v>
      </c>
      <c r="D15" s="15" t="s">
        <v>59</v>
      </c>
      <c r="E15" s="16"/>
      <c r="F15" s="17">
        <v>800</v>
      </c>
      <c r="G15" s="12">
        <v>31</v>
      </c>
      <c r="H15" s="12">
        <v>0</v>
      </c>
      <c r="I15" s="18">
        <f t="shared" si="0"/>
        <v>31</v>
      </c>
      <c r="J15" s="17">
        <f t="shared" si="1"/>
        <v>800</v>
      </c>
      <c r="K15" s="34"/>
      <c r="L15" s="17">
        <f t="shared" si="2"/>
        <v>0</v>
      </c>
      <c r="M15" s="12"/>
      <c r="N15" s="17">
        <f t="shared" si="3"/>
        <v>0</v>
      </c>
      <c r="O15" s="12"/>
      <c r="P15" s="17">
        <f t="shared" si="4"/>
        <v>0</v>
      </c>
      <c r="Q15" s="12">
        <f t="shared" si="5"/>
        <v>31</v>
      </c>
      <c r="R15" s="12">
        <v>200</v>
      </c>
      <c r="S15" s="17">
        <f t="shared" si="6"/>
        <v>200</v>
      </c>
      <c r="T15" s="12">
        <f>100/G15*I15</f>
        <v>100</v>
      </c>
      <c r="U15" s="12">
        <v>200</v>
      </c>
      <c r="V15" s="12">
        <v>0</v>
      </c>
      <c r="W15" s="12">
        <v>0</v>
      </c>
      <c r="X15" s="17">
        <f t="shared" si="12"/>
        <v>1300</v>
      </c>
      <c r="Y15" s="12"/>
      <c r="Z15" s="19"/>
      <c r="AA15" s="17">
        <f t="shared" si="7"/>
        <v>800</v>
      </c>
      <c r="AB15" s="20">
        <f t="shared" si="8"/>
        <v>500</v>
      </c>
      <c r="AC15" s="20" t="e">
        <f t="shared" si="9"/>
        <v>#N/A</v>
      </c>
      <c r="AD15" s="20" t="e">
        <f t="shared" si="10"/>
        <v>#N/A</v>
      </c>
      <c r="AE15" s="17" t="e">
        <f>VLOOKUP(B15,[2]Sheet1!$B$4:$J$188,9,0)</f>
        <v>#N/A</v>
      </c>
      <c r="AF15" s="20" t="e">
        <f t="shared" si="11"/>
        <v>#N/A</v>
      </c>
      <c r="AG15" s="21" t="str">
        <f>VLOOKUP(B15,'[3]MASTER -COLOR CODE'!$B$6:$C$337,2,0)</f>
        <v>LAKSHMAN BISWAS ANANDA</v>
      </c>
      <c r="AH15" s="21"/>
    </row>
    <row r="16" spans="1:34" s="22" customFormat="1" x14ac:dyDescent="0.25">
      <c r="A16" s="12">
        <v>15</v>
      </c>
      <c r="B16" s="13">
        <v>583</v>
      </c>
      <c r="C16" s="14" t="s">
        <v>60</v>
      </c>
      <c r="D16" s="15" t="s">
        <v>61</v>
      </c>
      <c r="E16" s="16"/>
      <c r="F16" s="17">
        <v>700</v>
      </c>
      <c r="G16" s="12">
        <v>31</v>
      </c>
      <c r="H16" s="12">
        <v>0</v>
      </c>
      <c r="I16" s="18">
        <f t="shared" si="0"/>
        <v>31</v>
      </c>
      <c r="J16" s="17">
        <f t="shared" si="1"/>
        <v>700</v>
      </c>
      <c r="K16" s="34"/>
      <c r="L16" s="17">
        <f t="shared" si="2"/>
        <v>0</v>
      </c>
      <c r="M16" s="12"/>
      <c r="N16" s="17">
        <f t="shared" si="3"/>
        <v>0</v>
      </c>
      <c r="O16" s="12"/>
      <c r="P16" s="17">
        <f t="shared" si="4"/>
        <v>0</v>
      </c>
      <c r="Q16" s="12">
        <f t="shared" si="5"/>
        <v>31</v>
      </c>
      <c r="R16" s="12">
        <v>200</v>
      </c>
      <c r="S16" s="17">
        <f t="shared" si="6"/>
        <v>200</v>
      </c>
      <c r="T16" s="12">
        <f>100/G16*I16</f>
        <v>100</v>
      </c>
      <c r="U16" s="12">
        <v>100</v>
      </c>
      <c r="V16" s="12">
        <v>0</v>
      </c>
      <c r="W16" s="12">
        <v>0</v>
      </c>
      <c r="X16" s="17">
        <f t="shared" si="12"/>
        <v>1100</v>
      </c>
      <c r="Y16" s="12"/>
      <c r="Z16" s="19"/>
      <c r="AA16" s="17">
        <f t="shared" si="7"/>
        <v>700</v>
      </c>
      <c r="AB16" s="20">
        <f t="shared" si="8"/>
        <v>400</v>
      </c>
      <c r="AC16" s="20" t="e">
        <f t="shared" si="9"/>
        <v>#N/A</v>
      </c>
      <c r="AD16" s="20" t="e">
        <f t="shared" si="10"/>
        <v>#N/A</v>
      </c>
      <c r="AE16" s="17" t="e">
        <f>VLOOKUP(B16,[2]Sheet1!$B$4:$J$188,9,0)</f>
        <v>#N/A</v>
      </c>
      <c r="AF16" s="20" t="e">
        <f t="shared" si="11"/>
        <v>#N/A</v>
      </c>
      <c r="AG16" s="21" t="str">
        <f>VLOOKUP(B16,'[3]MASTER -COLOR CODE'!$B$6:$C$337,2,0)</f>
        <v>INAYAT ULLAH SAHIB ZADA</v>
      </c>
      <c r="AH16" s="21"/>
    </row>
    <row r="17" spans="1:34" s="22" customFormat="1" x14ac:dyDescent="0.25">
      <c r="A17" s="12">
        <v>16</v>
      </c>
      <c r="B17" s="13">
        <v>603</v>
      </c>
      <c r="C17" s="14" t="s">
        <v>62</v>
      </c>
      <c r="D17" s="15" t="s">
        <v>63</v>
      </c>
      <c r="E17" s="16"/>
      <c r="F17" s="17">
        <v>700</v>
      </c>
      <c r="G17" s="12">
        <v>31</v>
      </c>
      <c r="H17" s="12">
        <v>0</v>
      </c>
      <c r="I17" s="18">
        <f t="shared" si="0"/>
        <v>31</v>
      </c>
      <c r="J17" s="17">
        <f t="shared" si="1"/>
        <v>700</v>
      </c>
      <c r="K17" s="34"/>
      <c r="L17" s="17">
        <f t="shared" si="2"/>
        <v>0</v>
      </c>
      <c r="M17" s="12"/>
      <c r="N17" s="17">
        <f t="shared" si="3"/>
        <v>0</v>
      </c>
      <c r="O17" s="12"/>
      <c r="P17" s="17">
        <f t="shared" si="4"/>
        <v>0</v>
      </c>
      <c r="Q17" s="12">
        <f t="shared" si="5"/>
        <v>31</v>
      </c>
      <c r="R17" s="12">
        <v>200</v>
      </c>
      <c r="S17" s="17">
        <f t="shared" si="6"/>
        <v>200</v>
      </c>
      <c r="T17" s="12">
        <v>100</v>
      </c>
      <c r="U17" s="12">
        <v>100</v>
      </c>
      <c r="V17" s="12">
        <v>0</v>
      </c>
      <c r="W17" s="12">
        <v>0</v>
      </c>
      <c r="X17" s="17">
        <f t="shared" si="12"/>
        <v>1100</v>
      </c>
      <c r="Y17" s="12"/>
      <c r="Z17" s="19"/>
      <c r="AA17" s="17">
        <f t="shared" si="7"/>
        <v>700</v>
      </c>
      <c r="AB17" s="20">
        <f t="shared" si="8"/>
        <v>400</v>
      </c>
      <c r="AC17" s="20" t="e">
        <f t="shared" si="9"/>
        <v>#N/A</v>
      </c>
      <c r="AD17" s="20" t="e">
        <f t="shared" si="10"/>
        <v>#N/A</v>
      </c>
      <c r="AE17" s="17" t="e">
        <f>VLOOKUP(B17,[2]Sheet1!$B$4:$J$188,9,0)</f>
        <v>#N/A</v>
      </c>
      <c r="AF17" s="20" t="e">
        <f t="shared" si="11"/>
        <v>#N/A</v>
      </c>
      <c r="AG17" s="21" t="str">
        <f>VLOOKUP(B17,'[3]MASTER -COLOR CODE'!$B$6:$C$337,2,0)</f>
        <v>TOUSEEF ALI</v>
      </c>
      <c r="AH17" s="21"/>
    </row>
    <row r="18" spans="1:34" s="22" customFormat="1" x14ac:dyDescent="0.25">
      <c r="A18" s="12">
        <v>17</v>
      </c>
      <c r="B18" s="13">
        <v>604</v>
      </c>
      <c r="C18" s="14" t="s">
        <v>64</v>
      </c>
      <c r="D18" s="15"/>
      <c r="E18" s="17"/>
      <c r="F18" s="17">
        <v>700</v>
      </c>
      <c r="G18" s="12">
        <v>31</v>
      </c>
      <c r="H18" s="12">
        <v>0</v>
      </c>
      <c r="I18" s="18">
        <f t="shared" si="0"/>
        <v>31</v>
      </c>
      <c r="J18" s="17">
        <f t="shared" si="1"/>
        <v>700</v>
      </c>
      <c r="K18" s="34"/>
      <c r="L18" s="17">
        <f t="shared" si="2"/>
        <v>0</v>
      </c>
      <c r="M18" s="12"/>
      <c r="N18" s="17">
        <f t="shared" si="3"/>
        <v>0</v>
      </c>
      <c r="O18" s="12"/>
      <c r="P18" s="17">
        <f t="shared" si="4"/>
        <v>0</v>
      </c>
      <c r="Q18" s="12">
        <f t="shared" si="5"/>
        <v>31</v>
      </c>
      <c r="R18" s="12">
        <v>200</v>
      </c>
      <c r="S18" s="17">
        <f t="shared" si="6"/>
        <v>200</v>
      </c>
      <c r="T18" s="12">
        <v>100</v>
      </c>
      <c r="U18" s="12">
        <v>200</v>
      </c>
      <c r="V18" s="12">
        <v>0</v>
      </c>
      <c r="W18" s="12">
        <v>0</v>
      </c>
      <c r="X18" s="17">
        <f t="shared" si="12"/>
        <v>1200</v>
      </c>
      <c r="Y18" s="12"/>
      <c r="Z18" s="19"/>
      <c r="AA18" s="17">
        <f t="shared" si="7"/>
        <v>700</v>
      </c>
      <c r="AB18" s="20">
        <f t="shared" si="8"/>
        <v>500</v>
      </c>
      <c r="AC18" s="20" t="e">
        <f t="shared" si="9"/>
        <v>#N/A</v>
      </c>
      <c r="AD18" s="20" t="e">
        <f t="shared" si="10"/>
        <v>#N/A</v>
      </c>
      <c r="AE18" s="17" t="e">
        <f>VLOOKUP(B18,[2]Sheet1!$B$4:$J$188,9,0)</f>
        <v>#N/A</v>
      </c>
      <c r="AF18" s="20" t="e">
        <f t="shared" si="11"/>
        <v>#N/A</v>
      </c>
      <c r="AG18" s="21" t="str">
        <f>VLOOKUP(B18,'[3]MASTER -COLOR CODE'!$B$6:$C$337,2,0)</f>
        <v>IMDAD ALI BHUTO</v>
      </c>
      <c r="AH18" s="21"/>
    </row>
    <row r="19" spans="1:34" s="63" customFormat="1" x14ac:dyDescent="0.25">
      <c r="A19" s="53">
        <v>18</v>
      </c>
      <c r="B19" s="54">
        <v>606</v>
      </c>
      <c r="C19" s="55" t="s">
        <v>65</v>
      </c>
      <c r="D19" s="56" t="s">
        <v>41</v>
      </c>
      <c r="E19" s="57"/>
      <c r="F19" s="58">
        <v>900</v>
      </c>
      <c r="G19" s="53">
        <v>31</v>
      </c>
      <c r="H19" s="53">
        <v>31</v>
      </c>
      <c r="I19" s="59">
        <f t="shared" si="0"/>
        <v>0</v>
      </c>
      <c r="J19" s="58">
        <f t="shared" si="1"/>
        <v>0</v>
      </c>
      <c r="K19" s="53"/>
      <c r="L19" s="58">
        <f t="shared" si="2"/>
        <v>0</v>
      </c>
      <c r="M19" s="53"/>
      <c r="N19" s="58">
        <f t="shared" si="3"/>
        <v>0</v>
      </c>
      <c r="O19" s="53"/>
      <c r="P19" s="58">
        <f t="shared" si="4"/>
        <v>0</v>
      </c>
      <c r="Q19" s="53">
        <f t="shared" si="5"/>
        <v>0</v>
      </c>
      <c r="R19" s="53">
        <v>200</v>
      </c>
      <c r="S19" s="58">
        <v>200</v>
      </c>
      <c r="T19" s="53">
        <v>100</v>
      </c>
      <c r="U19" s="53">
        <v>200</v>
      </c>
      <c r="V19" s="53">
        <v>0</v>
      </c>
      <c r="W19" s="53">
        <v>0</v>
      </c>
      <c r="X19" s="58">
        <f>J19+L19+N19+P19+S19+T19+U19+V19-W19</f>
        <v>500</v>
      </c>
      <c r="Y19" s="53"/>
      <c r="Z19" s="60"/>
      <c r="AA19" s="58">
        <f t="shared" si="7"/>
        <v>0</v>
      </c>
      <c r="AB19" s="61">
        <f t="shared" si="8"/>
        <v>500</v>
      </c>
      <c r="AC19" s="61" t="e">
        <f t="shared" si="9"/>
        <v>#N/A</v>
      </c>
      <c r="AD19" s="61" t="e">
        <f t="shared" si="10"/>
        <v>#N/A</v>
      </c>
      <c r="AE19" s="58" t="e">
        <f>VLOOKUP(B19,[2]Sheet1!$B$4:$J$188,9,0)</f>
        <v>#N/A</v>
      </c>
      <c r="AF19" s="61" t="e">
        <f t="shared" si="11"/>
        <v>#N/A</v>
      </c>
      <c r="AG19" s="62" t="str">
        <f>VLOOKUP(B19,'[3]MASTER -COLOR CODE'!$B$6:$C$337,2,0)</f>
        <v>AZEEM KHAN</v>
      </c>
      <c r="AH19" s="62"/>
    </row>
    <row r="20" spans="1:34" s="22" customFormat="1" x14ac:dyDescent="0.25">
      <c r="A20" s="12">
        <v>19</v>
      </c>
      <c r="B20" s="13">
        <v>626</v>
      </c>
      <c r="C20" s="14" t="s">
        <v>66</v>
      </c>
      <c r="D20" s="15" t="s">
        <v>67</v>
      </c>
      <c r="E20" s="16"/>
      <c r="F20" s="17">
        <v>900</v>
      </c>
      <c r="G20" s="12">
        <v>31</v>
      </c>
      <c r="H20" s="12">
        <v>0</v>
      </c>
      <c r="I20" s="18">
        <f t="shared" si="0"/>
        <v>31</v>
      </c>
      <c r="J20" s="17">
        <f t="shared" si="1"/>
        <v>900</v>
      </c>
      <c r="K20" s="34"/>
      <c r="L20" s="17">
        <f t="shared" si="2"/>
        <v>0</v>
      </c>
      <c r="M20" s="12"/>
      <c r="N20" s="17">
        <f t="shared" si="3"/>
        <v>0</v>
      </c>
      <c r="O20" s="12"/>
      <c r="P20" s="17">
        <f t="shared" si="4"/>
        <v>0</v>
      </c>
      <c r="Q20" s="12">
        <f t="shared" si="5"/>
        <v>31</v>
      </c>
      <c r="R20" s="12">
        <v>200</v>
      </c>
      <c r="S20" s="17">
        <f t="shared" ref="S20:S51" si="14">R20/G20*Q20</f>
        <v>200</v>
      </c>
      <c r="T20" s="12">
        <v>100</v>
      </c>
      <c r="U20" s="12">
        <v>0</v>
      </c>
      <c r="V20" s="12">
        <v>0</v>
      </c>
      <c r="W20" s="12">
        <v>0</v>
      </c>
      <c r="X20" s="17">
        <f t="shared" si="12"/>
        <v>1200</v>
      </c>
      <c r="Y20" s="12"/>
      <c r="Z20" s="19"/>
      <c r="AA20" s="17">
        <f t="shared" si="7"/>
        <v>900</v>
      </c>
      <c r="AB20" s="20">
        <f t="shared" si="8"/>
        <v>300</v>
      </c>
      <c r="AC20" s="20" t="e">
        <f t="shared" si="9"/>
        <v>#N/A</v>
      </c>
      <c r="AD20" s="20" t="e">
        <f t="shared" si="10"/>
        <v>#N/A</v>
      </c>
      <c r="AE20" s="17" t="e">
        <f>VLOOKUP(B20,[2]Sheet1!$B$4:$J$188,9,0)</f>
        <v>#N/A</v>
      </c>
      <c r="AF20" s="20" t="e">
        <f t="shared" si="11"/>
        <v>#N/A</v>
      </c>
      <c r="AG20" s="21" t="str">
        <f>VLOOKUP(B20,'[3]MASTER -COLOR CODE'!$B$6:$C$337,2,0)</f>
        <v>RIYAJUDDEEN ANSARI</v>
      </c>
      <c r="AH20" s="21"/>
    </row>
    <row r="21" spans="1:34" s="22" customFormat="1" x14ac:dyDescent="0.25">
      <c r="A21" s="12">
        <v>20</v>
      </c>
      <c r="B21" s="13">
        <v>628</v>
      </c>
      <c r="C21" s="14" t="s">
        <v>68</v>
      </c>
      <c r="D21" s="15">
        <v>10005108839927</v>
      </c>
      <c r="E21" s="16"/>
      <c r="F21" s="17">
        <v>900</v>
      </c>
      <c r="G21" s="12">
        <v>31</v>
      </c>
      <c r="H21" s="12">
        <v>0</v>
      </c>
      <c r="I21" s="18">
        <f t="shared" si="0"/>
        <v>31</v>
      </c>
      <c r="J21" s="17">
        <f t="shared" si="1"/>
        <v>900</v>
      </c>
      <c r="K21" s="34"/>
      <c r="L21" s="17">
        <f t="shared" si="2"/>
        <v>0</v>
      </c>
      <c r="M21" s="12"/>
      <c r="N21" s="17">
        <f t="shared" si="3"/>
        <v>0</v>
      </c>
      <c r="O21" s="12"/>
      <c r="P21" s="17">
        <f t="shared" si="4"/>
        <v>0</v>
      </c>
      <c r="Q21" s="12">
        <f t="shared" si="5"/>
        <v>31</v>
      </c>
      <c r="R21" s="12">
        <v>200</v>
      </c>
      <c r="S21" s="17">
        <f t="shared" si="14"/>
        <v>200</v>
      </c>
      <c r="T21" s="12">
        <v>0</v>
      </c>
      <c r="U21" s="12">
        <v>0</v>
      </c>
      <c r="V21" s="12">
        <v>0</v>
      </c>
      <c r="W21" s="12">
        <v>0</v>
      </c>
      <c r="X21" s="17">
        <f t="shared" si="12"/>
        <v>1100</v>
      </c>
      <c r="Y21" s="12"/>
      <c r="Z21" s="19"/>
      <c r="AA21" s="17">
        <f t="shared" si="7"/>
        <v>900</v>
      </c>
      <c r="AB21" s="20">
        <f t="shared" si="8"/>
        <v>200</v>
      </c>
      <c r="AC21" s="20" t="e">
        <f t="shared" si="9"/>
        <v>#N/A</v>
      </c>
      <c r="AD21" s="20" t="e">
        <f t="shared" si="10"/>
        <v>#N/A</v>
      </c>
      <c r="AE21" s="17" t="e">
        <f>VLOOKUP(B21,[2]Sheet1!$B$4:$J$188,9,0)</f>
        <v>#N/A</v>
      </c>
      <c r="AF21" s="20" t="e">
        <f t="shared" si="11"/>
        <v>#N/A</v>
      </c>
      <c r="AG21" s="21" t="str">
        <f>VLOOKUP(B21,'[3]MASTER -COLOR CODE'!$B$6:$C$337,2,0)</f>
        <v xml:space="preserve">DIPAK RAM </v>
      </c>
      <c r="AH21" s="21"/>
    </row>
    <row r="22" spans="1:34" s="22" customFormat="1" x14ac:dyDescent="0.25">
      <c r="A22" s="12">
        <v>21</v>
      </c>
      <c r="B22" s="13">
        <v>631</v>
      </c>
      <c r="C22" s="23" t="s">
        <v>69</v>
      </c>
      <c r="D22" s="15" t="s">
        <v>70</v>
      </c>
      <c r="E22" s="15"/>
      <c r="F22" s="17">
        <v>700</v>
      </c>
      <c r="G22" s="12">
        <v>31</v>
      </c>
      <c r="H22" s="12">
        <v>0</v>
      </c>
      <c r="I22" s="18">
        <f t="shared" si="0"/>
        <v>31</v>
      </c>
      <c r="J22" s="17">
        <f t="shared" si="1"/>
        <v>700</v>
      </c>
      <c r="K22" s="34"/>
      <c r="L22" s="17">
        <f t="shared" si="2"/>
        <v>0</v>
      </c>
      <c r="M22" s="12"/>
      <c r="N22" s="17">
        <f t="shared" si="3"/>
        <v>0</v>
      </c>
      <c r="O22" s="12"/>
      <c r="P22" s="17">
        <f t="shared" si="4"/>
        <v>0</v>
      </c>
      <c r="Q22" s="12">
        <f t="shared" si="5"/>
        <v>31</v>
      </c>
      <c r="R22" s="12">
        <v>200</v>
      </c>
      <c r="S22" s="17">
        <f t="shared" si="14"/>
        <v>200</v>
      </c>
      <c r="T22" s="12">
        <v>0</v>
      </c>
      <c r="U22" s="12">
        <v>0</v>
      </c>
      <c r="V22" s="12">
        <v>0</v>
      </c>
      <c r="W22" s="12">
        <v>0</v>
      </c>
      <c r="X22" s="17">
        <f t="shared" si="12"/>
        <v>900</v>
      </c>
      <c r="Y22" s="12"/>
      <c r="Z22" s="12"/>
      <c r="AA22" s="17">
        <f t="shared" si="7"/>
        <v>700</v>
      </c>
      <c r="AB22" s="20">
        <v>266</v>
      </c>
      <c r="AC22" s="20">
        <f>AA22+AB22</f>
        <v>966</v>
      </c>
      <c r="AD22" s="20">
        <f t="shared" si="10"/>
        <v>-66</v>
      </c>
      <c r="AE22" s="17" t="e">
        <f>VLOOKUP(B22,[2]Sheet1!$B$4:$J$188,9,0)</f>
        <v>#N/A</v>
      </c>
      <c r="AF22" s="20" t="e">
        <f t="shared" si="11"/>
        <v>#N/A</v>
      </c>
      <c r="AG22" s="21" t="str">
        <f>VLOOKUP(B22,'[3]MASTER -COLOR CODE'!$B$6:$C$337,2,0)</f>
        <v>ARSLAN MAHMOOD</v>
      </c>
      <c r="AH22" s="21"/>
    </row>
    <row r="23" spans="1:34" s="22" customFormat="1" x14ac:dyDescent="0.25">
      <c r="A23" s="12">
        <v>22</v>
      </c>
      <c r="B23" s="13">
        <v>652</v>
      </c>
      <c r="C23" s="14" t="s">
        <v>71</v>
      </c>
      <c r="D23" s="15" t="s">
        <v>72</v>
      </c>
      <c r="E23" s="16"/>
      <c r="F23" s="17">
        <v>900</v>
      </c>
      <c r="G23" s="12">
        <v>31</v>
      </c>
      <c r="H23" s="12">
        <v>0</v>
      </c>
      <c r="I23" s="18">
        <f t="shared" si="0"/>
        <v>31</v>
      </c>
      <c r="J23" s="17">
        <f t="shared" si="1"/>
        <v>900</v>
      </c>
      <c r="K23" s="34"/>
      <c r="L23" s="17">
        <f t="shared" si="2"/>
        <v>0</v>
      </c>
      <c r="M23" s="12"/>
      <c r="N23" s="17">
        <f t="shared" si="3"/>
        <v>0</v>
      </c>
      <c r="O23" s="12"/>
      <c r="P23" s="17">
        <f t="shared" si="4"/>
        <v>0</v>
      </c>
      <c r="Q23" s="12">
        <f t="shared" si="5"/>
        <v>31</v>
      </c>
      <c r="R23" s="12">
        <v>200</v>
      </c>
      <c r="S23" s="17">
        <f t="shared" si="14"/>
        <v>200</v>
      </c>
      <c r="T23" s="12">
        <v>100</v>
      </c>
      <c r="U23" s="12">
        <v>0</v>
      </c>
      <c r="V23" s="12">
        <v>0</v>
      </c>
      <c r="W23" s="12">
        <v>0</v>
      </c>
      <c r="X23" s="17">
        <f t="shared" si="12"/>
        <v>1200</v>
      </c>
      <c r="Y23" s="12"/>
      <c r="Z23" s="19"/>
      <c r="AA23" s="17">
        <f t="shared" si="7"/>
        <v>900</v>
      </c>
      <c r="AB23" s="20">
        <f t="shared" ref="AB23:AB35" si="15">X23-AA23</f>
        <v>300</v>
      </c>
      <c r="AC23" s="20" t="e">
        <f t="shared" ref="AC23:AC54" si="16">AE23+AB23</f>
        <v>#N/A</v>
      </c>
      <c r="AD23" s="20" t="e">
        <f t="shared" si="10"/>
        <v>#N/A</v>
      </c>
      <c r="AE23" s="17" t="e">
        <f>VLOOKUP(B23,[2]Sheet1!$B$4:$J$188,9,0)</f>
        <v>#N/A</v>
      </c>
      <c r="AF23" s="20" t="e">
        <f t="shared" si="11"/>
        <v>#N/A</v>
      </c>
      <c r="AG23" s="21" t="str">
        <f>VLOOKUP(B23,'[3]MASTER -COLOR CODE'!$B$6:$C$337,2,0)</f>
        <v>RAM VILASH SINGH YADAV</v>
      </c>
      <c r="AH23" s="21"/>
    </row>
    <row r="24" spans="1:34" s="22" customFormat="1" x14ac:dyDescent="0.25">
      <c r="A24" s="12">
        <v>23</v>
      </c>
      <c r="B24" s="13">
        <v>654</v>
      </c>
      <c r="C24" s="14" t="s">
        <v>73</v>
      </c>
      <c r="D24" s="15" t="s">
        <v>74</v>
      </c>
      <c r="E24" s="16"/>
      <c r="F24" s="17">
        <v>900</v>
      </c>
      <c r="G24" s="12">
        <v>31</v>
      </c>
      <c r="H24" s="12">
        <v>1</v>
      </c>
      <c r="I24" s="18">
        <f t="shared" si="0"/>
        <v>30</v>
      </c>
      <c r="J24" s="17">
        <f t="shared" si="1"/>
        <v>870.9677419354839</v>
      </c>
      <c r="K24" s="34"/>
      <c r="L24" s="17">
        <f t="shared" si="2"/>
        <v>0</v>
      </c>
      <c r="M24" s="12"/>
      <c r="N24" s="17">
        <f t="shared" si="3"/>
        <v>0</v>
      </c>
      <c r="O24" s="12"/>
      <c r="P24" s="17">
        <f t="shared" si="4"/>
        <v>0</v>
      </c>
      <c r="Q24" s="12">
        <f t="shared" si="5"/>
        <v>30</v>
      </c>
      <c r="R24" s="12">
        <v>200</v>
      </c>
      <c r="S24" s="17">
        <f t="shared" si="14"/>
        <v>193.54838709677418</v>
      </c>
      <c r="T24" s="12">
        <v>0</v>
      </c>
      <c r="U24" s="12">
        <v>0</v>
      </c>
      <c r="V24" s="12">
        <v>0</v>
      </c>
      <c r="W24" s="12">
        <v>0</v>
      </c>
      <c r="X24" s="17">
        <f t="shared" si="12"/>
        <v>1064.516129032258</v>
      </c>
      <c r="Y24" s="12"/>
      <c r="Z24" s="19"/>
      <c r="AA24" s="17">
        <f t="shared" si="7"/>
        <v>870.9677419354839</v>
      </c>
      <c r="AB24" s="20">
        <f t="shared" si="15"/>
        <v>193.54838709677415</v>
      </c>
      <c r="AC24" s="20" t="e">
        <f t="shared" si="16"/>
        <v>#N/A</v>
      </c>
      <c r="AD24" s="20" t="e">
        <f t="shared" si="10"/>
        <v>#N/A</v>
      </c>
      <c r="AE24" s="17" t="e">
        <f>VLOOKUP(B24,[2]Sheet1!$B$4:$J$188,9,0)</f>
        <v>#N/A</v>
      </c>
      <c r="AF24" s="20" t="e">
        <f t="shared" si="11"/>
        <v>#N/A</v>
      </c>
      <c r="AG24" s="21" t="str">
        <f>VLOOKUP(B24,'[3]MASTER -COLOR CODE'!$B$6:$C$337,2,0)</f>
        <v>RAJNESH SVAMEENADH</v>
      </c>
      <c r="AH24" s="21"/>
    </row>
    <row r="25" spans="1:34" s="22" customFormat="1" x14ac:dyDescent="0.25">
      <c r="A25" s="12">
        <v>24</v>
      </c>
      <c r="B25" s="13">
        <v>662</v>
      </c>
      <c r="C25" s="14" t="s">
        <v>75</v>
      </c>
      <c r="D25" s="15" t="s">
        <v>76</v>
      </c>
      <c r="E25" s="16"/>
      <c r="F25" s="17">
        <v>900</v>
      </c>
      <c r="G25" s="12">
        <v>31</v>
      </c>
      <c r="H25" s="12">
        <v>0</v>
      </c>
      <c r="I25" s="18">
        <f t="shared" si="0"/>
        <v>31</v>
      </c>
      <c r="J25" s="17">
        <f t="shared" si="1"/>
        <v>900</v>
      </c>
      <c r="K25" s="34"/>
      <c r="L25" s="17">
        <f t="shared" si="2"/>
        <v>0</v>
      </c>
      <c r="M25" s="12"/>
      <c r="N25" s="17">
        <f t="shared" si="3"/>
        <v>0</v>
      </c>
      <c r="O25" s="12"/>
      <c r="P25" s="17">
        <f t="shared" si="4"/>
        <v>0</v>
      </c>
      <c r="Q25" s="12">
        <f t="shared" si="5"/>
        <v>31</v>
      </c>
      <c r="R25" s="12">
        <v>200</v>
      </c>
      <c r="S25" s="17">
        <f t="shared" si="14"/>
        <v>200</v>
      </c>
      <c r="T25" s="12">
        <f t="shared" ref="T25:T32" si="17">100/G25*I25</f>
        <v>100</v>
      </c>
      <c r="U25" s="12">
        <v>0</v>
      </c>
      <c r="V25" s="12">
        <v>0</v>
      </c>
      <c r="W25" s="12">
        <v>0</v>
      </c>
      <c r="X25" s="17">
        <f t="shared" si="12"/>
        <v>1200</v>
      </c>
      <c r="Y25" s="12"/>
      <c r="Z25" s="19"/>
      <c r="AA25" s="17">
        <f t="shared" si="7"/>
        <v>900</v>
      </c>
      <c r="AB25" s="20">
        <f t="shared" si="15"/>
        <v>300</v>
      </c>
      <c r="AC25" s="20" t="e">
        <f t="shared" si="16"/>
        <v>#N/A</v>
      </c>
      <c r="AD25" s="20" t="e">
        <f t="shared" si="10"/>
        <v>#N/A</v>
      </c>
      <c r="AE25" s="17" t="e">
        <f>VLOOKUP(B25,[2]Sheet1!$B$4:$J$188,9,0)</f>
        <v>#N/A</v>
      </c>
      <c r="AF25" s="20" t="e">
        <f t="shared" si="11"/>
        <v>#N/A</v>
      </c>
      <c r="AG25" s="21" t="str">
        <f>VLOOKUP(B25,'[3]MASTER -COLOR CODE'!$B$6:$C$337,2,0)</f>
        <v>SHAILESH YADAV</v>
      </c>
      <c r="AH25" s="21"/>
    </row>
    <row r="26" spans="1:34" s="22" customFormat="1" x14ac:dyDescent="0.25">
      <c r="A26" s="12">
        <v>25</v>
      </c>
      <c r="B26" s="24">
        <v>669</v>
      </c>
      <c r="C26" s="25" t="s">
        <v>77</v>
      </c>
      <c r="D26" s="15"/>
      <c r="E26" s="16"/>
      <c r="F26" s="17">
        <v>700</v>
      </c>
      <c r="G26" s="12">
        <v>31</v>
      </c>
      <c r="H26" s="12">
        <v>0</v>
      </c>
      <c r="I26" s="18">
        <f t="shared" si="0"/>
        <v>31</v>
      </c>
      <c r="J26" s="17">
        <f t="shared" si="1"/>
        <v>700</v>
      </c>
      <c r="K26" s="34"/>
      <c r="L26" s="17">
        <f t="shared" si="2"/>
        <v>0</v>
      </c>
      <c r="M26" s="12"/>
      <c r="N26" s="17">
        <f t="shared" si="3"/>
        <v>0</v>
      </c>
      <c r="O26" s="12"/>
      <c r="P26" s="17">
        <f t="shared" si="4"/>
        <v>0</v>
      </c>
      <c r="Q26" s="12">
        <f t="shared" si="5"/>
        <v>31</v>
      </c>
      <c r="R26" s="12">
        <v>200</v>
      </c>
      <c r="S26" s="17">
        <f t="shared" si="14"/>
        <v>200</v>
      </c>
      <c r="T26" s="12">
        <f t="shared" si="17"/>
        <v>100</v>
      </c>
      <c r="U26" s="12">
        <v>0</v>
      </c>
      <c r="V26" s="12">
        <v>0</v>
      </c>
      <c r="W26" s="12">
        <v>0</v>
      </c>
      <c r="X26" s="17">
        <f t="shared" si="12"/>
        <v>1000</v>
      </c>
      <c r="Y26" s="12"/>
      <c r="Z26" s="19"/>
      <c r="AA26" s="17">
        <f t="shared" si="7"/>
        <v>700</v>
      </c>
      <c r="AB26" s="20">
        <f t="shared" si="15"/>
        <v>300</v>
      </c>
      <c r="AC26" s="20" t="e">
        <f t="shared" si="16"/>
        <v>#N/A</v>
      </c>
      <c r="AD26" s="20" t="e">
        <f t="shared" si="10"/>
        <v>#N/A</v>
      </c>
      <c r="AE26" s="17" t="e">
        <f>VLOOKUP(B26,[2]Sheet1!$B$4:$J$188,9,0)</f>
        <v>#N/A</v>
      </c>
      <c r="AF26" s="20" t="e">
        <f t="shared" si="11"/>
        <v>#N/A</v>
      </c>
      <c r="AG26" s="21" t="str">
        <f>VLOOKUP(B26,'[3]MASTER -COLOR CODE'!$B$6:$C$337,2,0)</f>
        <v>MAHENDRA THAPA</v>
      </c>
      <c r="AH26" s="21"/>
    </row>
    <row r="27" spans="1:34" s="22" customFormat="1" x14ac:dyDescent="0.25">
      <c r="A27" s="12">
        <v>26</v>
      </c>
      <c r="B27" s="13">
        <v>670</v>
      </c>
      <c r="C27" s="14" t="s">
        <v>78</v>
      </c>
      <c r="D27" s="15" t="s">
        <v>79</v>
      </c>
      <c r="E27" s="16"/>
      <c r="F27" s="17">
        <v>700</v>
      </c>
      <c r="G27" s="12">
        <v>31</v>
      </c>
      <c r="H27" s="12">
        <v>0</v>
      </c>
      <c r="I27" s="18">
        <f t="shared" si="0"/>
        <v>31</v>
      </c>
      <c r="J27" s="17">
        <f t="shared" si="1"/>
        <v>700</v>
      </c>
      <c r="K27" s="34"/>
      <c r="L27" s="17">
        <f t="shared" si="2"/>
        <v>0</v>
      </c>
      <c r="M27" s="12"/>
      <c r="N27" s="17">
        <f t="shared" si="3"/>
        <v>0</v>
      </c>
      <c r="O27" s="12"/>
      <c r="P27" s="17">
        <f t="shared" si="4"/>
        <v>0</v>
      </c>
      <c r="Q27" s="12">
        <f t="shared" si="5"/>
        <v>31</v>
      </c>
      <c r="R27" s="12">
        <v>200</v>
      </c>
      <c r="S27" s="17">
        <f t="shared" si="14"/>
        <v>200</v>
      </c>
      <c r="T27" s="12">
        <f t="shared" si="17"/>
        <v>100</v>
      </c>
      <c r="U27" s="12">
        <v>0</v>
      </c>
      <c r="V27" s="12">
        <v>0</v>
      </c>
      <c r="W27" s="12">
        <v>0</v>
      </c>
      <c r="X27" s="17">
        <f t="shared" si="12"/>
        <v>1000</v>
      </c>
      <c r="Y27" s="12"/>
      <c r="Z27" s="19"/>
      <c r="AA27" s="17">
        <f t="shared" si="7"/>
        <v>700</v>
      </c>
      <c r="AB27" s="20">
        <f t="shared" si="15"/>
        <v>300</v>
      </c>
      <c r="AC27" s="20" t="e">
        <f t="shared" si="16"/>
        <v>#N/A</v>
      </c>
      <c r="AD27" s="20" t="e">
        <f t="shared" si="10"/>
        <v>#N/A</v>
      </c>
      <c r="AE27" s="17" t="e">
        <f>VLOOKUP(B27,[2]Sheet1!$B$4:$J$188,9,0)</f>
        <v>#N/A</v>
      </c>
      <c r="AF27" s="20" t="e">
        <f t="shared" si="11"/>
        <v>#N/A</v>
      </c>
      <c r="AG27" s="21" t="str">
        <f>VLOOKUP(B27,'[3]MASTER -COLOR CODE'!$B$6:$C$337,2,0)</f>
        <v>BIKRAM YADAV</v>
      </c>
      <c r="AH27" s="21"/>
    </row>
    <row r="28" spans="1:34" s="63" customFormat="1" x14ac:dyDescent="0.25">
      <c r="A28" s="53">
        <v>27</v>
      </c>
      <c r="B28" s="54">
        <v>675</v>
      </c>
      <c r="C28" s="55" t="s">
        <v>80</v>
      </c>
      <c r="D28" s="56" t="s">
        <v>81</v>
      </c>
      <c r="E28" s="57"/>
      <c r="F28" s="58">
        <v>700</v>
      </c>
      <c r="G28" s="53">
        <v>31</v>
      </c>
      <c r="H28" s="53">
        <v>31</v>
      </c>
      <c r="I28" s="59">
        <f t="shared" si="0"/>
        <v>0</v>
      </c>
      <c r="J28" s="58">
        <f t="shared" si="1"/>
        <v>0</v>
      </c>
      <c r="K28" s="53"/>
      <c r="L28" s="58">
        <f t="shared" si="2"/>
        <v>0</v>
      </c>
      <c r="M28" s="53"/>
      <c r="N28" s="58">
        <f t="shared" si="3"/>
        <v>0</v>
      </c>
      <c r="O28" s="53"/>
      <c r="P28" s="58">
        <f t="shared" si="4"/>
        <v>0</v>
      </c>
      <c r="Q28" s="53">
        <f t="shared" si="5"/>
        <v>0</v>
      </c>
      <c r="R28" s="53">
        <v>200</v>
      </c>
      <c r="S28" s="58">
        <f t="shared" si="14"/>
        <v>0</v>
      </c>
      <c r="T28" s="53">
        <f t="shared" si="17"/>
        <v>0</v>
      </c>
      <c r="U28" s="53">
        <v>0</v>
      </c>
      <c r="V28" s="53">
        <v>0</v>
      </c>
      <c r="W28" s="53">
        <v>0</v>
      </c>
      <c r="X28" s="58">
        <f t="shared" si="12"/>
        <v>0</v>
      </c>
      <c r="Y28" s="53"/>
      <c r="Z28" s="60"/>
      <c r="AA28" s="58">
        <f t="shared" si="7"/>
        <v>0</v>
      </c>
      <c r="AB28" s="61">
        <f t="shared" si="15"/>
        <v>0</v>
      </c>
      <c r="AC28" s="61" t="e">
        <f t="shared" si="16"/>
        <v>#N/A</v>
      </c>
      <c r="AD28" s="61" t="e">
        <f t="shared" si="10"/>
        <v>#N/A</v>
      </c>
      <c r="AE28" s="58" t="e">
        <f>VLOOKUP(B28,[2]Sheet1!$B$4:$J$188,9,0)</f>
        <v>#N/A</v>
      </c>
      <c r="AF28" s="61" t="e">
        <f t="shared" si="11"/>
        <v>#N/A</v>
      </c>
      <c r="AG28" s="62" t="str">
        <f>VLOOKUP(B28,'[3]MASTER -COLOR CODE'!$B$6:$C$337,2,0)</f>
        <v>GORAY RAWAL</v>
      </c>
      <c r="AH28" s="62"/>
    </row>
    <row r="29" spans="1:34" s="22" customFormat="1" x14ac:dyDescent="0.25">
      <c r="A29" s="12">
        <v>28</v>
      </c>
      <c r="B29" s="13">
        <v>681</v>
      </c>
      <c r="C29" s="14" t="s">
        <v>82</v>
      </c>
      <c r="D29" s="15" t="s">
        <v>83</v>
      </c>
      <c r="E29" s="16"/>
      <c r="F29" s="17">
        <v>700</v>
      </c>
      <c r="G29" s="12">
        <v>31</v>
      </c>
      <c r="H29" s="12">
        <v>1</v>
      </c>
      <c r="I29" s="18">
        <f t="shared" si="0"/>
        <v>30</v>
      </c>
      <c r="J29" s="17">
        <f t="shared" si="1"/>
        <v>677.41935483870975</v>
      </c>
      <c r="K29" s="34"/>
      <c r="L29" s="17">
        <f t="shared" si="2"/>
        <v>0</v>
      </c>
      <c r="M29" s="12"/>
      <c r="N29" s="17">
        <f t="shared" si="3"/>
        <v>0</v>
      </c>
      <c r="O29" s="12"/>
      <c r="P29" s="17">
        <f t="shared" si="4"/>
        <v>0</v>
      </c>
      <c r="Q29" s="12">
        <f t="shared" si="5"/>
        <v>30</v>
      </c>
      <c r="R29" s="12">
        <v>200</v>
      </c>
      <c r="S29" s="17">
        <f t="shared" si="14"/>
        <v>193.54838709677418</v>
      </c>
      <c r="T29" s="12">
        <f t="shared" si="17"/>
        <v>96.774193548387089</v>
      </c>
      <c r="U29" s="12">
        <v>0</v>
      </c>
      <c r="V29" s="12">
        <v>0</v>
      </c>
      <c r="W29" s="12">
        <v>0</v>
      </c>
      <c r="X29" s="17">
        <f t="shared" si="12"/>
        <v>967.74193548387098</v>
      </c>
      <c r="Y29" s="12"/>
      <c r="Z29" s="19"/>
      <c r="AA29" s="17">
        <f t="shared" si="7"/>
        <v>677.41935483870975</v>
      </c>
      <c r="AB29" s="20">
        <f t="shared" si="15"/>
        <v>290.32258064516122</v>
      </c>
      <c r="AC29" s="20" t="e">
        <f t="shared" si="16"/>
        <v>#N/A</v>
      </c>
      <c r="AD29" s="20" t="e">
        <f t="shared" si="10"/>
        <v>#N/A</v>
      </c>
      <c r="AE29" s="17" t="e">
        <f>VLOOKUP(B29,[2]Sheet1!$B$4:$J$188,9,0)</f>
        <v>#N/A</v>
      </c>
      <c r="AF29" s="20" t="e">
        <f t="shared" si="11"/>
        <v>#N/A</v>
      </c>
      <c r="AG29" s="21" t="str">
        <f>VLOOKUP(B29,'[3]MASTER -COLOR CODE'!$B$6:$C$337,2,0)</f>
        <v>KHALIQ NOOR BADSHAH</v>
      </c>
      <c r="AH29" s="21"/>
    </row>
    <row r="30" spans="1:34" s="22" customFormat="1" x14ac:dyDescent="0.25">
      <c r="A30" s="12">
        <v>29</v>
      </c>
      <c r="B30" s="13">
        <v>693</v>
      </c>
      <c r="C30" s="14" t="s">
        <v>84</v>
      </c>
      <c r="D30" s="15" t="s">
        <v>85</v>
      </c>
      <c r="E30" s="16"/>
      <c r="F30" s="17">
        <v>800</v>
      </c>
      <c r="G30" s="12">
        <v>31</v>
      </c>
      <c r="H30" s="12">
        <v>0</v>
      </c>
      <c r="I30" s="18">
        <f t="shared" si="0"/>
        <v>31</v>
      </c>
      <c r="J30" s="17">
        <f t="shared" si="1"/>
        <v>800</v>
      </c>
      <c r="K30" s="34"/>
      <c r="L30" s="17">
        <f t="shared" si="2"/>
        <v>0</v>
      </c>
      <c r="M30" s="12"/>
      <c r="N30" s="17">
        <f t="shared" si="3"/>
        <v>0</v>
      </c>
      <c r="O30" s="12"/>
      <c r="P30" s="17">
        <f t="shared" si="4"/>
        <v>0</v>
      </c>
      <c r="Q30" s="12">
        <f t="shared" si="5"/>
        <v>31</v>
      </c>
      <c r="R30" s="12">
        <v>200</v>
      </c>
      <c r="S30" s="17">
        <f t="shared" si="14"/>
        <v>200</v>
      </c>
      <c r="T30" s="12">
        <f t="shared" si="17"/>
        <v>100</v>
      </c>
      <c r="U30" s="12">
        <v>0</v>
      </c>
      <c r="V30" s="12">
        <v>0</v>
      </c>
      <c r="W30" s="12">
        <v>0</v>
      </c>
      <c r="X30" s="17">
        <f t="shared" si="12"/>
        <v>1100</v>
      </c>
      <c r="Y30" s="12"/>
      <c r="Z30" s="19"/>
      <c r="AA30" s="17">
        <f t="shared" si="7"/>
        <v>800</v>
      </c>
      <c r="AB30" s="20">
        <f t="shared" si="15"/>
        <v>300</v>
      </c>
      <c r="AC30" s="20" t="e">
        <f t="shared" si="16"/>
        <v>#N/A</v>
      </c>
      <c r="AD30" s="20" t="e">
        <f t="shared" si="10"/>
        <v>#N/A</v>
      </c>
      <c r="AE30" s="17" t="e">
        <f>VLOOKUP(B30,[2]Sheet1!$B$4:$J$188,9,0)</f>
        <v>#N/A</v>
      </c>
      <c r="AF30" s="20" t="e">
        <f t="shared" si="11"/>
        <v>#N/A</v>
      </c>
      <c r="AG30" s="21" t="str">
        <f>VLOOKUP(B30,'[3]MASTER -COLOR CODE'!$B$6:$C$337,2,0)</f>
        <v>AMIT KUMAR</v>
      </c>
      <c r="AH30" s="21"/>
    </row>
    <row r="31" spans="1:34" s="63" customFormat="1" x14ac:dyDescent="0.25">
      <c r="A31" s="53">
        <v>30</v>
      </c>
      <c r="B31" s="54">
        <v>694</v>
      </c>
      <c r="C31" s="55" t="s">
        <v>86</v>
      </c>
      <c r="D31" s="56" t="s">
        <v>87</v>
      </c>
      <c r="E31" s="57"/>
      <c r="F31" s="58">
        <v>800</v>
      </c>
      <c r="G31" s="53">
        <v>31</v>
      </c>
      <c r="H31" s="53">
        <v>31</v>
      </c>
      <c r="I31" s="59">
        <f t="shared" si="0"/>
        <v>0</v>
      </c>
      <c r="J31" s="58">
        <f t="shared" si="1"/>
        <v>0</v>
      </c>
      <c r="K31" s="53"/>
      <c r="L31" s="58">
        <f t="shared" si="2"/>
        <v>0</v>
      </c>
      <c r="M31" s="53"/>
      <c r="N31" s="58">
        <f t="shared" si="3"/>
        <v>0</v>
      </c>
      <c r="O31" s="53"/>
      <c r="P31" s="58">
        <f t="shared" si="4"/>
        <v>0</v>
      </c>
      <c r="Q31" s="53">
        <f t="shared" si="5"/>
        <v>0</v>
      </c>
      <c r="R31" s="53">
        <v>200</v>
      </c>
      <c r="S31" s="58">
        <f t="shared" si="14"/>
        <v>0</v>
      </c>
      <c r="T31" s="53">
        <f t="shared" si="17"/>
        <v>0</v>
      </c>
      <c r="U31" s="53">
        <v>0</v>
      </c>
      <c r="V31" s="53">
        <v>0</v>
      </c>
      <c r="W31" s="53">
        <v>0</v>
      </c>
      <c r="X31" s="58">
        <f t="shared" si="12"/>
        <v>0</v>
      </c>
      <c r="Y31" s="53"/>
      <c r="Z31" s="60"/>
      <c r="AA31" s="58">
        <f t="shared" si="7"/>
        <v>0</v>
      </c>
      <c r="AB31" s="61">
        <f t="shared" si="15"/>
        <v>0</v>
      </c>
      <c r="AC31" s="61" t="e">
        <f t="shared" si="16"/>
        <v>#N/A</v>
      </c>
      <c r="AD31" s="61" t="e">
        <f t="shared" si="10"/>
        <v>#N/A</v>
      </c>
      <c r="AE31" s="58" t="e">
        <f>VLOOKUP(B31,[2]Sheet1!$B$4:$J$188,9,0)</f>
        <v>#N/A</v>
      </c>
      <c r="AF31" s="61" t="e">
        <f t="shared" si="11"/>
        <v>#N/A</v>
      </c>
      <c r="AG31" s="62" t="str">
        <f>VLOOKUP(B31,'[3]MASTER -COLOR CODE'!$B$6:$C$337,2,0)</f>
        <v>FAJALE ALAM FERASAT ALAM</v>
      </c>
      <c r="AH31" s="62"/>
    </row>
    <row r="32" spans="1:34" s="22" customFormat="1" x14ac:dyDescent="0.25">
      <c r="A32" s="12">
        <v>31</v>
      </c>
      <c r="B32" s="13">
        <v>695</v>
      </c>
      <c r="C32" s="14" t="s">
        <v>88</v>
      </c>
      <c r="D32" s="15">
        <v>31629018468120</v>
      </c>
      <c r="E32" s="16"/>
      <c r="F32" s="17">
        <v>700</v>
      </c>
      <c r="G32" s="12">
        <v>31</v>
      </c>
      <c r="H32" s="12">
        <v>0</v>
      </c>
      <c r="I32" s="18">
        <f t="shared" si="0"/>
        <v>31</v>
      </c>
      <c r="J32" s="17">
        <f t="shared" si="1"/>
        <v>700</v>
      </c>
      <c r="K32" s="34"/>
      <c r="L32" s="17">
        <f t="shared" si="2"/>
        <v>0</v>
      </c>
      <c r="M32" s="12"/>
      <c r="N32" s="17">
        <f t="shared" si="3"/>
        <v>0</v>
      </c>
      <c r="O32" s="12"/>
      <c r="P32" s="17">
        <f t="shared" si="4"/>
        <v>0</v>
      </c>
      <c r="Q32" s="12">
        <f t="shared" si="5"/>
        <v>31</v>
      </c>
      <c r="R32" s="12">
        <v>200</v>
      </c>
      <c r="S32" s="17">
        <f t="shared" si="14"/>
        <v>200</v>
      </c>
      <c r="T32" s="12">
        <f t="shared" si="17"/>
        <v>100</v>
      </c>
      <c r="U32" s="12">
        <v>0</v>
      </c>
      <c r="V32" s="12">
        <v>0</v>
      </c>
      <c r="W32" s="12">
        <v>0</v>
      </c>
      <c r="X32" s="17">
        <f t="shared" si="12"/>
        <v>1000</v>
      </c>
      <c r="Y32" s="12"/>
      <c r="Z32" s="19"/>
      <c r="AA32" s="17">
        <f t="shared" si="7"/>
        <v>700</v>
      </c>
      <c r="AB32" s="20">
        <f t="shared" si="15"/>
        <v>300</v>
      </c>
      <c r="AC32" s="20" t="e">
        <f t="shared" si="16"/>
        <v>#N/A</v>
      </c>
      <c r="AD32" s="20" t="e">
        <f t="shared" si="10"/>
        <v>#N/A</v>
      </c>
      <c r="AE32" s="17" t="e">
        <f>VLOOKUP(B32,[2]Sheet1!$B$4:$J$188,9,0)</f>
        <v>#N/A</v>
      </c>
      <c r="AF32" s="20" t="e">
        <f t="shared" si="11"/>
        <v>#N/A</v>
      </c>
      <c r="AG32" s="21" t="str">
        <f>VLOOKUP(B32,'[3]MASTER -COLOR CODE'!$B$6:$C$337,2,0)</f>
        <v>TEJ BAHADUR RANA</v>
      </c>
      <c r="AH32" s="21"/>
    </row>
    <row r="33" spans="1:34" s="22" customFormat="1" x14ac:dyDescent="0.25">
      <c r="A33" s="12">
        <v>32</v>
      </c>
      <c r="B33" s="13">
        <v>790</v>
      </c>
      <c r="C33" s="14" t="s">
        <v>89</v>
      </c>
      <c r="D33" s="15" t="s">
        <v>90</v>
      </c>
      <c r="E33" s="16"/>
      <c r="F33" s="17">
        <v>700</v>
      </c>
      <c r="G33" s="12">
        <v>31</v>
      </c>
      <c r="H33" s="12">
        <v>0</v>
      </c>
      <c r="I33" s="18">
        <f t="shared" si="0"/>
        <v>31</v>
      </c>
      <c r="J33" s="17">
        <f t="shared" si="1"/>
        <v>700</v>
      </c>
      <c r="K33" s="34"/>
      <c r="L33" s="17">
        <f t="shared" si="2"/>
        <v>0</v>
      </c>
      <c r="M33" s="12"/>
      <c r="N33" s="17">
        <f t="shared" si="3"/>
        <v>0</v>
      </c>
      <c r="O33" s="12"/>
      <c r="P33" s="17">
        <f t="shared" si="4"/>
        <v>0</v>
      </c>
      <c r="Q33" s="12">
        <f t="shared" si="5"/>
        <v>31</v>
      </c>
      <c r="R33" s="12">
        <v>200</v>
      </c>
      <c r="S33" s="17">
        <f t="shared" si="14"/>
        <v>200</v>
      </c>
      <c r="T33" s="12">
        <v>0</v>
      </c>
      <c r="U33" s="12">
        <v>100</v>
      </c>
      <c r="V33" s="12">
        <v>0</v>
      </c>
      <c r="W33" s="12">
        <v>0</v>
      </c>
      <c r="X33" s="17">
        <f t="shared" si="12"/>
        <v>1000</v>
      </c>
      <c r="Y33" s="12"/>
      <c r="Z33" s="19"/>
      <c r="AA33" s="17">
        <f t="shared" si="7"/>
        <v>700</v>
      </c>
      <c r="AB33" s="20">
        <f t="shared" si="15"/>
        <v>300</v>
      </c>
      <c r="AC33" s="20" t="e">
        <f t="shared" si="16"/>
        <v>#N/A</v>
      </c>
      <c r="AD33" s="20" t="e">
        <f t="shared" si="10"/>
        <v>#N/A</v>
      </c>
      <c r="AE33" s="17" t="e">
        <f>VLOOKUP(B33,[2]Sheet1!$B$4:$J$188,9,0)</f>
        <v>#N/A</v>
      </c>
      <c r="AF33" s="20" t="e">
        <f t="shared" si="11"/>
        <v>#N/A</v>
      </c>
      <c r="AG33" s="21" t="str">
        <f>VLOOKUP(B33,'[3]MASTER -COLOR CODE'!$B$6:$C$337,2,0)</f>
        <v>RABINDRA DAS TATMA</v>
      </c>
      <c r="AH33" s="21"/>
    </row>
    <row r="34" spans="1:34" s="22" customFormat="1" x14ac:dyDescent="0.25">
      <c r="A34" s="12">
        <v>33</v>
      </c>
      <c r="B34" s="13">
        <v>814</v>
      </c>
      <c r="C34" s="14" t="s">
        <v>91</v>
      </c>
      <c r="D34" s="15" t="s">
        <v>92</v>
      </c>
      <c r="E34" s="16"/>
      <c r="F34" s="17">
        <v>700</v>
      </c>
      <c r="G34" s="12">
        <v>31</v>
      </c>
      <c r="H34" s="12">
        <v>0</v>
      </c>
      <c r="I34" s="18">
        <f t="shared" ref="I34:I65" si="18">G34-H34</f>
        <v>31</v>
      </c>
      <c r="J34" s="17">
        <f t="shared" si="1"/>
        <v>700</v>
      </c>
      <c r="K34" s="34"/>
      <c r="L34" s="17">
        <f t="shared" ref="L34:L65" si="19">F34/30/8*1.25*K34</f>
        <v>0</v>
      </c>
      <c r="M34" s="12"/>
      <c r="N34" s="17">
        <f t="shared" ref="N34:N65" si="20">F34/30/8*1.25*M34</f>
        <v>0</v>
      </c>
      <c r="O34" s="12"/>
      <c r="P34" s="17">
        <f t="shared" ref="P34:P65" si="21">F34/30/8*1.5*O34</f>
        <v>0</v>
      </c>
      <c r="Q34" s="12">
        <f t="shared" ref="Q34:Q65" si="22">I34</f>
        <v>31</v>
      </c>
      <c r="R34" s="12">
        <v>200</v>
      </c>
      <c r="S34" s="17">
        <f t="shared" si="14"/>
        <v>200</v>
      </c>
      <c r="T34" s="12">
        <f>100/G34*I34</f>
        <v>100</v>
      </c>
      <c r="U34" s="12">
        <v>100</v>
      </c>
      <c r="V34" s="12">
        <v>0</v>
      </c>
      <c r="W34" s="12">
        <v>0</v>
      </c>
      <c r="X34" s="17">
        <f t="shared" ref="X34:X65" si="23">J34+L34+N34+P34+S34+T34+U34+V34-W34</f>
        <v>1100</v>
      </c>
      <c r="Y34" s="12"/>
      <c r="Z34" s="19"/>
      <c r="AA34" s="17">
        <f t="shared" si="7"/>
        <v>700</v>
      </c>
      <c r="AB34" s="20">
        <f t="shared" si="15"/>
        <v>400</v>
      </c>
      <c r="AC34" s="20" t="e">
        <f t="shared" si="16"/>
        <v>#N/A</v>
      </c>
      <c r="AD34" s="20" t="e">
        <f t="shared" ref="AD34:AD65" si="24">X34-AC34</f>
        <v>#N/A</v>
      </c>
      <c r="AE34" s="17" t="e">
        <f>VLOOKUP(B34,[2]Sheet1!$B$4:$J$188,9,0)</f>
        <v>#N/A</v>
      </c>
      <c r="AF34" s="20" t="e">
        <f t="shared" ref="AF34:AF65" si="25">X34-AE34</f>
        <v>#N/A</v>
      </c>
      <c r="AG34" s="21" t="str">
        <f>VLOOKUP(B34,'[3]MASTER -COLOR CODE'!$B$6:$C$337,2,0)</f>
        <v>SANJAY KUMAR MANDAL G</v>
      </c>
      <c r="AH34" s="21"/>
    </row>
    <row r="35" spans="1:34" s="22" customFormat="1" x14ac:dyDescent="0.25">
      <c r="A35" s="12">
        <v>34</v>
      </c>
      <c r="B35" s="13">
        <v>818</v>
      </c>
      <c r="C35" s="14" t="s">
        <v>93</v>
      </c>
      <c r="D35" s="15" t="s">
        <v>94</v>
      </c>
      <c r="E35" s="16"/>
      <c r="F35" s="17">
        <v>900</v>
      </c>
      <c r="G35" s="12">
        <v>31</v>
      </c>
      <c r="H35" s="12">
        <v>0</v>
      </c>
      <c r="I35" s="18">
        <f t="shared" si="18"/>
        <v>31</v>
      </c>
      <c r="J35" s="17">
        <f t="shared" si="1"/>
        <v>900</v>
      </c>
      <c r="K35" s="34"/>
      <c r="L35" s="17">
        <f t="shared" si="19"/>
        <v>0</v>
      </c>
      <c r="M35" s="12"/>
      <c r="N35" s="17">
        <f t="shared" si="20"/>
        <v>0</v>
      </c>
      <c r="O35" s="12"/>
      <c r="P35" s="17">
        <f t="shared" si="21"/>
        <v>0</v>
      </c>
      <c r="Q35" s="12">
        <f t="shared" si="22"/>
        <v>31</v>
      </c>
      <c r="R35" s="12">
        <v>200</v>
      </c>
      <c r="S35" s="17">
        <f t="shared" si="14"/>
        <v>200</v>
      </c>
      <c r="T35" s="17">
        <v>0</v>
      </c>
      <c r="U35" s="12">
        <v>100</v>
      </c>
      <c r="V35" s="12">
        <v>0</v>
      </c>
      <c r="W35" s="12">
        <v>0</v>
      </c>
      <c r="X35" s="17">
        <f t="shared" si="23"/>
        <v>1200</v>
      </c>
      <c r="Y35" s="12"/>
      <c r="Z35" s="19"/>
      <c r="AA35" s="17">
        <f t="shared" si="7"/>
        <v>900</v>
      </c>
      <c r="AB35" s="20">
        <f t="shared" si="15"/>
        <v>300</v>
      </c>
      <c r="AC35" s="20" t="e">
        <f t="shared" si="16"/>
        <v>#N/A</v>
      </c>
      <c r="AD35" s="20" t="e">
        <f t="shared" si="24"/>
        <v>#N/A</v>
      </c>
      <c r="AE35" s="17" t="e">
        <f>VLOOKUP(B35,[2]Sheet1!$B$4:$J$188,9,0)</f>
        <v>#N/A</v>
      </c>
      <c r="AF35" s="20" t="e">
        <f t="shared" si="25"/>
        <v>#N/A</v>
      </c>
      <c r="AG35" s="21" t="str">
        <f>VLOOKUP(B35,'[3]MASTER -COLOR CODE'!$B$6:$C$337,2,0)</f>
        <v>MANOJ YADAV</v>
      </c>
      <c r="AH35" s="21"/>
    </row>
    <row r="36" spans="1:34" s="22" customFormat="1" x14ac:dyDescent="0.25">
      <c r="A36" s="12">
        <v>35</v>
      </c>
      <c r="B36" s="13">
        <v>821</v>
      </c>
      <c r="C36" s="14" t="s">
        <v>95</v>
      </c>
      <c r="D36" s="15" t="s">
        <v>96</v>
      </c>
      <c r="E36" s="15"/>
      <c r="F36" s="17">
        <v>900</v>
      </c>
      <c r="G36" s="12">
        <v>31</v>
      </c>
      <c r="H36" s="12">
        <v>0</v>
      </c>
      <c r="I36" s="18">
        <f t="shared" si="18"/>
        <v>31</v>
      </c>
      <c r="J36" s="17">
        <f t="shared" si="1"/>
        <v>900</v>
      </c>
      <c r="K36" s="34"/>
      <c r="L36" s="17">
        <f t="shared" si="19"/>
        <v>0</v>
      </c>
      <c r="M36" s="12"/>
      <c r="N36" s="17">
        <f t="shared" si="20"/>
        <v>0</v>
      </c>
      <c r="O36" s="12"/>
      <c r="P36" s="17">
        <f t="shared" si="21"/>
        <v>0</v>
      </c>
      <c r="Q36" s="12">
        <f t="shared" si="22"/>
        <v>31</v>
      </c>
      <c r="R36" s="12">
        <v>200</v>
      </c>
      <c r="S36" s="17">
        <f t="shared" si="14"/>
        <v>200</v>
      </c>
      <c r="T36" s="12">
        <v>0</v>
      </c>
      <c r="U36" s="12">
        <v>100</v>
      </c>
      <c r="V36" s="12">
        <v>0</v>
      </c>
      <c r="W36" s="12">
        <v>0</v>
      </c>
      <c r="X36" s="17">
        <f t="shared" si="23"/>
        <v>1200</v>
      </c>
      <c r="Y36" s="12"/>
      <c r="Z36" s="19"/>
      <c r="AA36" s="17">
        <f t="shared" si="7"/>
        <v>900</v>
      </c>
      <c r="AB36" s="20" t="e">
        <f>X36-AE36</f>
        <v>#N/A</v>
      </c>
      <c r="AC36" s="20" t="e">
        <f t="shared" si="16"/>
        <v>#N/A</v>
      </c>
      <c r="AD36" s="20" t="e">
        <f t="shared" si="24"/>
        <v>#N/A</v>
      </c>
      <c r="AE36" s="17" t="e">
        <f>VLOOKUP(B36,[2]Sheet1!$B$4:$J$188,9,0)</f>
        <v>#N/A</v>
      </c>
      <c r="AF36" s="20" t="e">
        <f t="shared" si="25"/>
        <v>#N/A</v>
      </c>
      <c r="AG36" s="21" t="str">
        <f>VLOOKUP(B36,'[3]MASTER -COLOR CODE'!$B$6:$C$337,2,0)</f>
        <v>SHANKAR SINGH</v>
      </c>
      <c r="AH36" s="21"/>
    </row>
    <row r="37" spans="1:34" s="22" customFormat="1" x14ac:dyDescent="0.25">
      <c r="A37" s="12">
        <v>36</v>
      </c>
      <c r="B37" s="13">
        <v>836</v>
      </c>
      <c r="C37" s="14" t="s">
        <v>97</v>
      </c>
      <c r="D37" s="15" t="s">
        <v>98</v>
      </c>
      <c r="E37" s="16"/>
      <c r="F37" s="17">
        <v>700</v>
      </c>
      <c r="G37" s="12">
        <v>31</v>
      </c>
      <c r="H37" s="12">
        <v>0</v>
      </c>
      <c r="I37" s="18">
        <f t="shared" si="18"/>
        <v>31</v>
      </c>
      <c r="J37" s="17">
        <f t="shared" si="1"/>
        <v>700</v>
      </c>
      <c r="K37" s="34"/>
      <c r="L37" s="17">
        <f t="shared" si="19"/>
        <v>0</v>
      </c>
      <c r="M37" s="12"/>
      <c r="N37" s="17">
        <f t="shared" si="20"/>
        <v>0</v>
      </c>
      <c r="O37" s="12"/>
      <c r="P37" s="17">
        <f t="shared" si="21"/>
        <v>0</v>
      </c>
      <c r="Q37" s="12">
        <f t="shared" si="22"/>
        <v>31</v>
      </c>
      <c r="R37" s="12">
        <v>200</v>
      </c>
      <c r="S37" s="17">
        <f t="shared" si="14"/>
        <v>200</v>
      </c>
      <c r="T37" s="12">
        <f>100/G37*I37</f>
        <v>100</v>
      </c>
      <c r="U37" s="12">
        <v>100</v>
      </c>
      <c r="V37" s="12">
        <v>0</v>
      </c>
      <c r="W37" s="12">
        <v>0</v>
      </c>
      <c r="X37" s="17">
        <f t="shared" si="23"/>
        <v>1100</v>
      </c>
      <c r="Y37" s="12"/>
      <c r="Z37" s="19"/>
      <c r="AA37" s="17">
        <f t="shared" si="7"/>
        <v>700</v>
      </c>
      <c r="AB37" s="20">
        <f t="shared" ref="AB37:AB43" si="26">X37-AA37</f>
        <v>400</v>
      </c>
      <c r="AC37" s="20" t="e">
        <f t="shared" si="16"/>
        <v>#N/A</v>
      </c>
      <c r="AD37" s="20" t="e">
        <f t="shared" si="24"/>
        <v>#N/A</v>
      </c>
      <c r="AE37" s="17" t="e">
        <f>VLOOKUP(B37,[2]Sheet1!$B$4:$J$188,9,0)</f>
        <v>#N/A</v>
      </c>
      <c r="AF37" s="20" t="e">
        <f t="shared" si="25"/>
        <v>#N/A</v>
      </c>
      <c r="AG37" s="21" t="str">
        <f>VLOOKUP(B37,'[3]MASTER -COLOR CODE'!$B$6:$C$337,2,0)</f>
        <v>GIRIJESH GOUTAM</v>
      </c>
      <c r="AH37" s="21"/>
    </row>
    <row r="38" spans="1:34" s="22" customFormat="1" x14ac:dyDescent="0.25">
      <c r="A38" s="12">
        <v>37</v>
      </c>
      <c r="B38" s="13">
        <v>837</v>
      </c>
      <c r="C38" s="14" t="s">
        <v>99</v>
      </c>
      <c r="D38" s="15" t="s">
        <v>100</v>
      </c>
      <c r="E38" s="16"/>
      <c r="F38" s="17">
        <v>900</v>
      </c>
      <c r="G38" s="12">
        <v>31</v>
      </c>
      <c r="H38" s="12">
        <v>3</v>
      </c>
      <c r="I38" s="18">
        <f t="shared" si="18"/>
        <v>28</v>
      </c>
      <c r="J38" s="17">
        <f t="shared" si="1"/>
        <v>812.90322580645159</v>
      </c>
      <c r="K38" s="34"/>
      <c r="L38" s="17">
        <f t="shared" si="19"/>
        <v>0</v>
      </c>
      <c r="M38" s="12"/>
      <c r="N38" s="17">
        <f t="shared" si="20"/>
        <v>0</v>
      </c>
      <c r="O38" s="12"/>
      <c r="P38" s="17">
        <f t="shared" si="21"/>
        <v>0</v>
      </c>
      <c r="Q38" s="12">
        <f t="shared" si="22"/>
        <v>28</v>
      </c>
      <c r="R38" s="12">
        <v>200</v>
      </c>
      <c r="S38" s="17">
        <f t="shared" si="14"/>
        <v>180.64516129032256</v>
      </c>
      <c r="T38" s="12">
        <v>0</v>
      </c>
      <c r="U38" s="12">
        <v>100</v>
      </c>
      <c r="V38" s="12">
        <v>0</v>
      </c>
      <c r="W38" s="12">
        <v>0</v>
      </c>
      <c r="X38" s="17">
        <f t="shared" si="23"/>
        <v>1093.5483870967741</v>
      </c>
      <c r="Y38" s="12"/>
      <c r="Z38" s="19"/>
      <c r="AA38" s="17">
        <f t="shared" si="7"/>
        <v>812.90322580645159</v>
      </c>
      <c r="AB38" s="20">
        <f t="shared" si="26"/>
        <v>280.64516129032256</v>
      </c>
      <c r="AC38" s="20" t="e">
        <f t="shared" si="16"/>
        <v>#N/A</v>
      </c>
      <c r="AD38" s="20" t="e">
        <f t="shared" si="24"/>
        <v>#N/A</v>
      </c>
      <c r="AE38" s="17" t="e">
        <f>VLOOKUP(B38,[2]Sheet1!$B$4:$J$188,9,0)</f>
        <v>#N/A</v>
      </c>
      <c r="AF38" s="20" t="e">
        <f t="shared" si="25"/>
        <v>#N/A</v>
      </c>
      <c r="AG38" s="21" t="str">
        <f>VLOOKUP(B38,'[3]MASTER -COLOR CODE'!$B$6:$C$337,2,0)</f>
        <v>RAM LAKHAN</v>
      </c>
      <c r="AH38" s="21"/>
    </row>
    <row r="39" spans="1:34" s="22" customFormat="1" x14ac:dyDescent="0.25">
      <c r="A39" s="12">
        <v>38</v>
      </c>
      <c r="B39" s="13">
        <v>840</v>
      </c>
      <c r="C39" s="14" t="s">
        <v>101</v>
      </c>
      <c r="D39" s="15"/>
      <c r="E39" s="16"/>
      <c r="F39" s="17">
        <v>900</v>
      </c>
      <c r="G39" s="12">
        <v>31</v>
      </c>
      <c r="H39" s="12">
        <v>0</v>
      </c>
      <c r="I39" s="18">
        <f t="shared" si="18"/>
        <v>31</v>
      </c>
      <c r="J39" s="17">
        <f t="shared" si="1"/>
        <v>900</v>
      </c>
      <c r="K39" s="34"/>
      <c r="L39" s="17">
        <f t="shared" si="19"/>
        <v>0</v>
      </c>
      <c r="M39" s="12"/>
      <c r="N39" s="17">
        <f t="shared" si="20"/>
        <v>0</v>
      </c>
      <c r="O39" s="12"/>
      <c r="P39" s="17">
        <f t="shared" si="21"/>
        <v>0</v>
      </c>
      <c r="Q39" s="12">
        <f t="shared" si="22"/>
        <v>31</v>
      </c>
      <c r="R39" s="12">
        <v>200</v>
      </c>
      <c r="S39" s="17">
        <f t="shared" si="14"/>
        <v>200</v>
      </c>
      <c r="T39" s="12">
        <f t="shared" ref="T39:T44" si="27">100/G39*I39</f>
        <v>100</v>
      </c>
      <c r="U39" s="12">
        <v>100</v>
      </c>
      <c r="V39" s="12">
        <v>0</v>
      </c>
      <c r="W39" s="12">
        <v>0</v>
      </c>
      <c r="X39" s="17">
        <f t="shared" si="23"/>
        <v>1300</v>
      </c>
      <c r="Y39" s="12"/>
      <c r="Z39" s="19"/>
      <c r="AA39" s="17">
        <f t="shared" si="7"/>
        <v>900</v>
      </c>
      <c r="AB39" s="20">
        <f t="shared" si="26"/>
        <v>400</v>
      </c>
      <c r="AC39" s="20" t="e">
        <f t="shared" si="16"/>
        <v>#N/A</v>
      </c>
      <c r="AD39" s="20" t="e">
        <f t="shared" si="24"/>
        <v>#N/A</v>
      </c>
      <c r="AE39" s="17" t="e">
        <f>VLOOKUP(B39,[2]Sheet1!$B$4:$J$188,9,0)</f>
        <v>#N/A</v>
      </c>
      <c r="AF39" s="20" t="e">
        <f t="shared" si="25"/>
        <v>#N/A</v>
      </c>
      <c r="AG39" s="21" t="str">
        <f>VLOOKUP(B39,'[3]MASTER -COLOR CODE'!$B$6:$C$337,2,0)</f>
        <v>BAKSHISH JABBAR</v>
      </c>
      <c r="AH39" s="21"/>
    </row>
    <row r="40" spans="1:34" s="22" customFormat="1" x14ac:dyDescent="0.25">
      <c r="A40" s="12">
        <v>39</v>
      </c>
      <c r="B40" s="13">
        <v>848</v>
      </c>
      <c r="C40" s="14" t="s">
        <v>102</v>
      </c>
      <c r="D40" s="15" t="s">
        <v>103</v>
      </c>
      <c r="E40" s="16"/>
      <c r="F40" s="17">
        <v>700</v>
      </c>
      <c r="G40" s="12">
        <v>31</v>
      </c>
      <c r="H40" s="12">
        <v>0</v>
      </c>
      <c r="I40" s="18">
        <f t="shared" si="18"/>
        <v>31</v>
      </c>
      <c r="J40" s="17">
        <f t="shared" si="1"/>
        <v>700</v>
      </c>
      <c r="K40" s="34"/>
      <c r="L40" s="17">
        <f t="shared" si="19"/>
        <v>0</v>
      </c>
      <c r="M40" s="12"/>
      <c r="N40" s="17">
        <f t="shared" si="20"/>
        <v>0</v>
      </c>
      <c r="O40" s="12"/>
      <c r="P40" s="17">
        <f t="shared" si="21"/>
        <v>0</v>
      </c>
      <c r="Q40" s="12">
        <f t="shared" si="22"/>
        <v>31</v>
      </c>
      <c r="R40" s="12">
        <v>200</v>
      </c>
      <c r="S40" s="17">
        <f t="shared" si="14"/>
        <v>200</v>
      </c>
      <c r="T40" s="12">
        <f t="shared" si="27"/>
        <v>100</v>
      </c>
      <c r="U40" s="12">
        <v>100</v>
      </c>
      <c r="V40" s="12">
        <v>0</v>
      </c>
      <c r="W40" s="12">
        <v>0</v>
      </c>
      <c r="X40" s="17">
        <f t="shared" si="23"/>
        <v>1100</v>
      </c>
      <c r="Y40" s="12"/>
      <c r="Z40" s="19"/>
      <c r="AA40" s="17">
        <f t="shared" si="7"/>
        <v>700</v>
      </c>
      <c r="AB40" s="20">
        <f t="shared" si="26"/>
        <v>400</v>
      </c>
      <c r="AC40" s="20" t="e">
        <f t="shared" si="16"/>
        <v>#N/A</v>
      </c>
      <c r="AD40" s="20" t="e">
        <f t="shared" si="24"/>
        <v>#N/A</v>
      </c>
      <c r="AE40" s="17" t="e">
        <f>VLOOKUP(B40,[2]Sheet1!$B$4:$J$188,9,0)</f>
        <v>#N/A</v>
      </c>
      <c r="AF40" s="20" t="e">
        <f t="shared" si="25"/>
        <v>#N/A</v>
      </c>
      <c r="AG40" s="21" t="str">
        <f>VLOOKUP(B40,'[3]MASTER -COLOR CODE'!$B$6:$C$337,2,0)</f>
        <v>DARSHAN AMRIT PAL</v>
      </c>
      <c r="AH40" s="21"/>
    </row>
    <row r="41" spans="1:34" s="22" customFormat="1" x14ac:dyDescent="0.25">
      <c r="A41" s="12">
        <v>40</v>
      </c>
      <c r="B41" s="13">
        <v>849</v>
      </c>
      <c r="C41" s="23" t="s">
        <v>104</v>
      </c>
      <c r="D41" s="15" t="s">
        <v>105</v>
      </c>
      <c r="E41" s="16"/>
      <c r="F41" s="17">
        <v>900</v>
      </c>
      <c r="G41" s="12">
        <v>31</v>
      </c>
      <c r="H41" s="12">
        <v>0</v>
      </c>
      <c r="I41" s="18">
        <f t="shared" si="18"/>
        <v>31</v>
      </c>
      <c r="J41" s="17">
        <f t="shared" si="1"/>
        <v>900</v>
      </c>
      <c r="K41" s="34"/>
      <c r="L41" s="17">
        <f t="shared" si="19"/>
        <v>0</v>
      </c>
      <c r="M41" s="12"/>
      <c r="N41" s="17">
        <f t="shared" si="20"/>
        <v>0</v>
      </c>
      <c r="O41" s="12"/>
      <c r="P41" s="17">
        <f t="shared" si="21"/>
        <v>0</v>
      </c>
      <c r="Q41" s="12">
        <f t="shared" si="22"/>
        <v>31</v>
      </c>
      <c r="R41" s="12">
        <v>200</v>
      </c>
      <c r="S41" s="17">
        <f t="shared" si="14"/>
        <v>200</v>
      </c>
      <c r="T41" s="12">
        <f t="shared" si="27"/>
        <v>100</v>
      </c>
      <c r="U41" s="12">
        <v>100</v>
      </c>
      <c r="V41" s="12">
        <v>0</v>
      </c>
      <c r="W41" s="12">
        <v>0</v>
      </c>
      <c r="X41" s="17">
        <f t="shared" si="23"/>
        <v>1300</v>
      </c>
      <c r="Y41" s="12"/>
      <c r="Z41" s="19"/>
      <c r="AA41" s="17">
        <f t="shared" si="7"/>
        <v>900</v>
      </c>
      <c r="AB41" s="20">
        <f t="shared" si="26"/>
        <v>400</v>
      </c>
      <c r="AC41" s="20" t="e">
        <f t="shared" si="16"/>
        <v>#N/A</v>
      </c>
      <c r="AD41" s="20" t="e">
        <f t="shared" si="24"/>
        <v>#N/A</v>
      </c>
      <c r="AE41" s="17" t="e">
        <f>VLOOKUP(B41,[2]Sheet1!$B$4:$J$188,9,0)</f>
        <v>#N/A</v>
      </c>
      <c r="AF41" s="20" t="e">
        <f t="shared" si="25"/>
        <v>#N/A</v>
      </c>
      <c r="AG41" s="21" t="str">
        <f>VLOOKUP(B41,'[3]MASTER -COLOR CODE'!$B$6:$C$337,2,0)</f>
        <v>PARDESHI GURUSARAN</v>
      </c>
      <c r="AH41" s="21"/>
    </row>
    <row r="42" spans="1:34" s="22" customFormat="1" x14ac:dyDescent="0.25">
      <c r="A42" s="12">
        <v>41</v>
      </c>
      <c r="B42" s="13">
        <v>867</v>
      </c>
      <c r="C42" s="14" t="s">
        <v>106</v>
      </c>
      <c r="D42" s="15" t="s">
        <v>107</v>
      </c>
      <c r="E42" s="16"/>
      <c r="F42" s="17">
        <v>900</v>
      </c>
      <c r="G42" s="12">
        <v>31</v>
      </c>
      <c r="H42" s="12">
        <v>0</v>
      </c>
      <c r="I42" s="18">
        <f t="shared" si="18"/>
        <v>31</v>
      </c>
      <c r="J42" s="17">
        <f t="shared" si="1"/>
        <v>900</v>
      </c>
      <c r="K42" s="34"/>
      <c r="L42" s="17">
        <f t="shared" si="19"/>
        <v>0</v>
      </c>
      <c r="M42" s="12"/>
      <c r="N42" s="17">
        <f t="shared" si="20"/>
        <v>0</v>
      </c>
      <c r="O42" s="12"/>
      <c r="P42" s="17">
        <f t="shared" si="21"/>
        <v>0</v>
      </c>
      <c r="Q42" s="12">
        <f t="shared" si="22"/>
        <v>31</v>
      </c>
      <c r="R42" s="12">
        <v>200</v>
      </c>
      <c r="S42" s="17">
        <f t="shared" si="14"/>
        <v>200</v>
      </c>
      <c r="T42" s="12">
        <f t="shared" si="27"/>
        <v>100</v>
      </c>
      <c r="U42" s="12">
        <v>0</v>
      </c>
      <c r="V42" s="12">
        <v>0</v>
      </c>
      <c r="W42" s="12">
        <v>0</v>
      </c>
      <c r="X42" s="17">
        <f t="shared" si="23"/>
        <v>1200</v>
      </c>
      <c r="Y42" s="12"/>
      <c r="Z42" s="19"/>
      <c r="AA42" s="17">
        <f t="shared" si="7"/>
        <v>900</v>
      </c>
      <c r="AB42" s="20">
        <f t="shared" si="26"/>
        <v>300</v>
      </c>
      <c r="AC42" s="20" t="e">
        <f t="shared" si="16"/>
        <v>#N/A</v>
      </c>
      <c r="AD42" s="20" t="e">
        <f t="shared" si="24"/>
        <v>#N/A</v>
      </c>
      <c r="AE42" s="17" t="e">
        <f>VLOOKUP(B42,[2]Sheet1!$B$4:$J$188,9,0)</f>
        <v>#N/A</v>
      </c>
      <c r="AF42" s="20" t="e">
        <f t="shared" si="25"/>
        <v>#N/A</v>
      </c>
      <c r="AG42" s="21" t="str">
        <f>VLOOKUP(B42,'[3]MASTER -COLOR CODE'!$B$6:$C$337,2,0)</f>
        <v>ARAVIND KUMAR</v>
      </c>
      <c r="AH42" s="21"/>
    </row>
    <row r="43" spans="1:34" s="22" customFormat="1" x14ac:dyDescent="0.25">
      <c r="A43" s="12">
        <v>42</v>
      </c>
      <c r="B43" s="13">
        <v>872</v>
      </c>
      <c r="C43" s="14" t="s">
        <v>108</v>
      </c>
      <c r="D43" s="15" t="s">
        <v>109</v>
      </c>
      <c r="E43" s="16"/>
      <c r="F43" s="17">
        <v>800</v>
      </c>
      <c r="G43" s="12">
        <v>31</v>
      </c>
      <c r="H43" s="12">
        <v>0</v>
      </c>
      <c r="I43" s="18">
        <f t="shared" si="18"/>
        <v>31</v>
      </c>
      <c r="J43" s="17">
        <f t="shared" si="1"/>
        <v>800</v>
      </c>
      <c r="K43" s="34"/>
      <c r="L43" s="17">
        <f t="shared" si="19"/>
        <v>0</v>
      </c>
      <c r="M43" s="12"/>
      <c r="N43" s="17">
        <f t="shared" si="20"/>
        <v>0</v>
      </c>
      <c r="O43" s="12"/>
      <c r="P43" s="17">
        <f t="shared" si="21"/>
        <v>0</v>
      </c>
      <c r="Q43" s="12">
        <f t="shared" si="22"/>
        <v>31</v>
      </c>
      <c r="R43" s="12">
        <v>200</v>
      </c>
      <c r="S43" s="17">
        <f t="shared" si="14"/>
        <v>200</v>
      </c>
      <c r="T43" s="12">
        <f t="shared" si="27"/>
        <v>100</v>
      </c>
      <c r="U43" s="12">
        <v>0</v>
      </c>
      <c r="V43" s="12">
        <v>0</v>
      </c>
      <c r="W43" s="12">
        <v>0</v>
      </c>
      <c r="X43" s="17">
        <f t="shared" si="23"/>
        <v>1100</v>
      </c>
      <c r="Y43" s="12"/>
      <c r="Z43" s="19"/>
      <c r="AA43" s="17">
        <f t="shared" si="7"/>
        <v>800</v>
      </c>
      <c r="AB43" s="20">
        <f t="shared" si="26"/>
        <v>300</v>
      </c>
      <c r="AC43" s="20" t="e">
        <f t="shared" si="16"/>
        <v>#N/A</v>
      </c>
      <c r="AD43" s="20" t="e">
        <f t="shared" si="24"/>
        <v>#N/A</v>
      </c>
      <c r="AE43" s="17" t="e">
        <f>VLOOKUP(B43,[2]Sheet1!$B$4:$J$188,9,0)</f>
        <v>#N/A</v>
      </c>
      <c r="AF43" s="20" t="e">
        <f t="shared" si="25"/>
        <v>#N/A</v>
      </c>
      <c r="AG43" s="21" t="str">
        <f>VLOOKUP(B43,'[3]MASTER -COLOR CODE'!$B$6:$C$337,2,0)</f>
        <v>SANJIT AVDHMANI</v>
      </c>
      <c r="AH43" s="21"/>
    </row>
    <row r="44" spans="1:34" s="22" customFormat="1" x14ac:dyDescent="0.25">
      <c r="A44" s="12">
        <v>43</v>
      </c>
      <c r="B44" s="13">
        <v>873</v>
      </c>
      <c r="C44" s="14" t="s">
        <v>110</v>
      </c>
      <c r="D44" s="15" t="s">
        <v>111</v>
      </c>
      <c r="E44" s="15"/>
      <c r="F44" s="17">
        <v>800</v>
      </c>
      <c r="G44" s="12">
        <v>31</v>
      </c>
      <c r="H44" s="12">
        <v>0</v>
      </c>
      <c r="I44" s="18">
        <f t="shared" si="18"/>
        <v>31</v>
      </c>
      <c r="J44" s="17">
        <f t="shared" si="1"/>
        <v>800</v>
      </c>
      <c r="K44" s="34"/>
      <c r="L44" s="17">
        <f t="shared" si="19"/>
        <v>0</v>
      </c>
      <c r="M44" s="12"/>
      <c r="N44" s="17">
        <f t="shared" si="20"/>
        <v>0</v>
      </c>
      <c r="O44" s="12"/>
      <c r="P44" s="17">
        <f t="shared" si="21"/>
        <v>0</v>
      </c>
      <c r="Q44" s="12">
        <f t="shared" si="22"/>
        <v>31</v>
      </c>
      <c r="R44" s="12">
        <v>200</v>
      </c>
      <c r="S44" s="17">
        <f t="shared" si="14"/>
        <v>200</v>
      </c>
      <c r="T44" s="12">
        <f t="shared" si="27"/>
        <v>100</v>
      </c>
      <c r="U44" s="12">
        <v>0</v>
      </c>
      <c r="V44" s="12">
        <v>0</v>
      </c>
      <c r="W44" s="12">
        <v>0</v>
      </c>
      <c r="X44" s="17">
        <f t="shared" si="23"/>
        <v>1100</v>
      </c>
      <c r="Y44" s="12"/>
      <c r="Z44" s="19"/>
      <c r="AA44" s="17">
        <f t="shared" si="7"/>
        <v>800</v>
      </c>
      <c r="AB44" s="20" t="e">
        <f>X44-AE44</f>
        <v>#N/A</v>
      </c>
      <c r="AC44" s="20" t="e">
        <f t="shared" si="16"/>
        <v>#N/A</v>
      </c>
      <c r="AD44" s="20" t="e">
        <f t="shared" si="24"/>
        <v>#N/A</v>
      </c>
      <c r="AE44" s="17" t="e">
        <f>VLOOKUP(B44,[2]Sheet1!$B$4:$J$188,9,0)</f>
        <v>#N/A</v>
      </c>
      <c r="AF44" s="20" t="e">
        <f t="shared" si="25"/>
        <v>#N/A</v>
      </c>
      <c r="AG44" s="21" t="str">
        <f>VLOOKUP(B44,'[3]MASTER -COLOR CODE'!$B$6:$C$337,2,0)</f>
        <v>KISHOR BAITHA</v>
      </c>
      <c r="AH44" s="21"/>
    </row>
    <row r="45" spans="1:34" s="22" customFormat="1" x14ac:dyDescent="0.25">
      <c r="A45" s="12">
        <v>44</v>
      </c>
      <c r="B45" s="13">
        <v>876</v>
      </c>
      <c r="C45" s="23" t="s">
        <v>112</v>
      </c>
      <c r="D45" s="15" t="s">
        <v>41</v>
      </c>
      <c r="E45" s="16"/>
      <c r="F45" s="17">
        <v>800</v>
      </c>
      <c r="G45" s="12">
        <v>31</v>
      </c>
      <c r="H45" s="12">
        <v>0</v>
      </c>
      <c r="I45" s="18">
        <f t="shared" si="18"/>
        <v>31</v>
      </c>
      <c r="J45" s="17">
        <f t="shared" si="1"/>
        <v>800</v>
      </c>
      <c r="K45" s="34"/>
      <c r="L45" s="17">
        <f t="shared" si="19"/>
        <v>0</v>
      </c>
      <c r="M45" s="12"/>
      <c r="N45" s="17">
        <f t="shared" si="20"/>
        <v>0</v>
      </c>
      <c r="O45" s="12"/>
      <c r="P45" s="17">
        <f t="shared" si="21"/>
        <v>0</v>
      </c>
      <c r="Q45" s="12">
        <f t="shared" si="22"/>
        <v>31</v>
      </c>
      <c r="R45" s="12">
        <v>200</v>
      </c>
      <c r="S45" s="17">
        <f t="shared" si="14"/>
        <v>200</v>
      </c>
      <c r="T45" s="12">
        <v>0</v>
      </c>
      <c r="U45" s="12">
        <v>0</v>
      </c>
      <c r="V45" s="12">
        <v>0</v>
      </c>
      <c r="W45" s="12">
        <v>0</v>
      </c>
      <c r="X45" s="17">
        <f t="shared" si="23"/>
        <v>1000</v>
      </c>
      <c r="Y45" s="12"/>
      <c r="Z45" s="19"/>
      <c r="AA45" s="17">
        <f t="shared" si="7"/>
        <v>800</v>
      </c>
      <c r="AB45" s="20">
        <f t="shared" ref="AB45:AB72" si="28">X45-AA45</f>
        <v>200</v>
      </c>
      <c r="AC45" s="20" t="e">
        <f t="shared" si="16"/>
        <v>#N/A</v>
      </c>
      <c r="AD45" s="20" t="e">
        <f t="shared" si="24"/>
        <v>#N/A</v>
      </c>
      <c r="AE45" s="17" t="e">
        <f>VLOOKUP(B45,[2]Sheet1!$B$4:$J$188,9,0)</f>
        <v>#N/A</v>
      </c>
      <c r="AF45" s="20" t="e">
        <f t="shared" si="25"/>
        <v>#N/A</v>
      </c>
      <c r="AG45" s="21" t="str">
        <f>VLOOKUP(B45,'[3]MASTER -COLOR CODE'!$B$6:$C$337,2,0)</f>
        <v>ACHINTA ROY</v>
      </c>
      <c r="AH45" s="21"/>
    </row>
    <row r="46" spans="1:34" s="22" customFormat="1" x14ac:dyDescent="0.25">
      <c r="A46" s="12">
        <v>45</v>
      </c>
      <c r="B46" s="13">
        <v>881</v>
      </c>
      <c r="C46" s="14" t="s">
        <v>113</v>
      </c>
      <c r="D46" s="15"/>
      <c r="E46" s="16"/>
      <c r="F46" s="17">
        <v>700</v>
      </c>
      <c r="G46" s="12">
        <v>31</v>
      </c>
      <c r="H46" s="12">
        <v>0</v>
      </c>
      <c r="I46" s="18">
        <f t="shared" si="18"/>
        <v>31</v>
      </c>
      <c r="J46" s="17">
        <f t="shared" si="1"/>
        <v>700</v>
      </c>
      <c r="K46" s="34"/>
      <c r="L46" s="17">
        <f t="shared" si="19"/>
        <v>0</v>
      </c>
      <c r="M46" s="12"/>
      <c r="N46" s="17">
        <f t="shared" si="20"/>
        <v>0</v>
      </c>
      <c r="O46" s="12"/>
      <c r="P46" s="17">
        <f t="shared" si="21"/>
        <v>0</v>
      </c>
      <c r="Q46" s="12">
        <f t="shared" si="22"/>
        <v>31</v>
      </c>
      <c r="R46" s="12">
        <v>200</v>
      </c>
      <c r="S46" s="17">
        <f t="shared" si="14"/>
        <v>200</v>
      </c>
      <c r="T46" s="12">
        <f>100/G46*I46</f>
        <v>100</v>
      </c>
      <c r="U46" s="12">
        <v>100</v>
      </c>
      <c r="V46" s="12">
        <v>0</v>
      </c>
      <c r="W46" s="12">
        <v>0</v>
      </c>
      <c r="X46" s="17">
        <f t="shared" si="23"/>
        <v>1100</v>
      </c>
      <c r="Y46" s="12"/>
      <c r="Z46" s="19"/>
      <c r="AA46" s="17">
        <f t="shared" si="7"/>
        <v>700</v>
      </c>
      <c r="AB46" s="20">
        <f t="shared" si="28"/>
        <v>400</v>
      </c>
      <c r="AC46" s="20" t="e">
        <f t="shared" si="16"/>
        <v>#N/A</v>
      </c>
      <c r="AD46" s="20" t="e">
        <f t="shared" si="24"/>
        <v>#N/A</v>
      </c>
      <c r="AE46" s="17" t="e">
        <f>VLOOKUP(B46,[2]Sheet1!$B$4:$J$188,9,0)</f>
        <v>#N/A</v>
      </c>
      <c r="AF46" s="20" t="e">
        <f t="shared" si="25"/>
        <v>#N/A</v>
      </c>
      <c r="AG46" s="21" t="str">
        <f>VLOOKUP(B46,'[3]MASTER -COLOR CODE'!$B$6:$C$337,2,0)</f>
        <v>SURESH BISTA</v>
      </c>
      <c r="AH46" s="21"/>
    </row>
    <row r="47" spans="1:34" s="63" customFormat="1" x14ac:dyDescent="0.25">
      <c r="A47" s="53">
        <v>46</v>
      </c>
      <c r="B47" s="54">
        <v>883</v>
      </c>
      <c r="C47" s="55" t="s">
        <v>114</v>
      </c>
      <c r="D47" s="56" t="s">
        <v>41</v>
      </c>
      <c r="E47" s="57"/>
      <c r="F47" s="58">
        <v>700</v>
      </c>
      <c r="G47" s="53">
        <v>31</v>
      </c>
      <c r="H47" s="53">
        <v>31</v>
      </c>
      <c r="I47" s="59">
        <f t="shared" si="18"/>
        <v>0</v>
      </c>
      <c r="J47" s="58">
        <f t="shared" si="1"/>
        <v>0</v>
      </c>
      <c r="K47" s="53"/>
      <c r="L47" s="58">
        <f t="shared" si="19"/>
        <v>0</v>
      </c>
      <c r="M47" s="53"/>
      <c r="N47" s="58">
        <f t="shared" si="20"/>
        <v>0</v>
      </c>
      <c r="O47" s="53"/>
      <c r="P47" s="58">
        <f t="shared" si="21"/>
        <v>0</v>
      </c>
      <c r="Q47" s="53">
        <f t="shared" si="22"/>
        <v>0</v>
      </c>
      <c r="R47" s="53">
        <v>200</v>
      </c>
      <c r="S47" s="58">
        <f t="shared" si="14"/>
        <v>0</v>
      </c>
      <c r="T47" s="53">
        <f>100/G47*I47</f>
        <v>0</v>
      </c>
      <c r="U47" s="53">
        <v>100</v>
      </c>
      <c r="V47" s="53">
        <v>0</v>
      </c>
      <c r="W47" s="53">
        <v>0</v>
      </c>
      <c r="X47" s="58">
        <f t="shared" si="23"/>
        <v>100</v>
      </c>
      <c r="Y47" s="53"/>
      <c r="Z47" s="60"/>
      <c r="AA47" s="58">
        <f t="shared" si="7"/>
        <v>0</v>
      </c>
      <c r="AB47" s="61">
        <f t="shared" si="28"/>
        <v>100</v>
      </c>
      <c r="AC47" s="61" t="e">
        <f t="shared" si="16"/>
        <v>#N/A</v>
      </c>
      <c r="AD47" s="61" t="e">
        <f t="shared" si="24"/>
        <v>#N/A</v>
      </c>
      <c r="AE47" s="58" t="e">
        <f>VLOOKUP(B47,[2]Sheet1!$B$4:$J$188,9,0)</f>
        <v>#N/A</v>
      </c>
      <c r="AF47" s="61" t="e">
        <f t="shared" si="25"/>
        <v>#N/A</v>
      </c>
      <c r="AG47" s="62" t="str">
        <f>VLOOKUP(B47,'[3]MASTER -COLOR CODE'!$B$6:$C$337,2,0)</f>
        <v xml:space="preserve">AHAMD ANSARI ATABUL </v>
      </c>
      <c r="AH47" s="62"/>
    </row>
    <row r="48" spans="1:34" s="22" customFormat="1" x14ac:dyDescent="0.25">
      <c r="A48" s="12">
        <v>47</v>
      </c>
      <c r="B48" s="13">
        <v>894</v>
      </c>
      <c r="C48" s="14" t="s">
        <v>115</v>
      </c>
      <c r="D48" s="15" t="s">
        <v>116</v>
      </c>
      <c r="E48" s="16"/>
      <c r="F48" s="17">
        <v>700</v>
      </c>
      <c r="G48" s="12">
        <v>31</v>
      </c>
      <c r="H48" s="12">
        <v>0</v>
      </c>
      <c r="I48" s="18">
        <f t="shared" si="18"/>
        <v>31</v>
      </c>
      <c r="J48" s="17">
        <f t="shared" si="1"/>
        <v>700</v>
      </c>
      <c r="K48" s="34"/>
      <c r="L48" s="17">
        <f t="shared" si="19"/>
        <v>0</v>
      </c>
      <c r="M48" s="12"/>
      <c r="N48" s="17">
        <f t="shared" si="20"/>
        <v>0</v>
      </c>
      <c r="O48" s="12"/>
      <c r="P48" s="17">
        <f t="shared" si="21"/>
        <v>0</v>
      </c>
      <c r="Q48" s="12">
        <f t="shared" si="22"/>
        <v>31</v>
      </c>
      <c r="R48" s="12">
        <v>200</v>
      </c>
      <c r="S48" s="17">
        <f t="shared" si="14"/>
        <v>200</v>
      </c>
      <c r="T48" s="12">
        <f>100/G48*I48</f>
        <v>100</v>
      </c>
      <c r="U48" s="12">
        <v>100</v>
      </c>
      <c r="V48" s="12">
        <v>0</v>
      </c>
      <c r="W48" s="12">
        <v>0</v>
      </c>
      <c r="X48" s="17">
        <f t="shared" si="23"/>
        <v>1100</v>
      </c>
      <c r="Y48" s="12"/>
      <c r="Z48" s="19"/>
      <c r="AA48" s="17">
        <f t="shared" si="7"/>
        <v>700</v>
      </c>
      <c r="AB48" s="20">
        <f t="shared" si="28"/>
        <v>400</v>
      </c>
      <c r="AC48" s="20" t="e">
        <f t="shared" si="16"/>
        <v>#N/A</v>
      </c>
      <c r="AD48" s="20" t="e">
        <f t="shared" si="24"/>
        <v>#N/A</v>
      </c>
      <c r="AE48" s="17" t="e">
        <f>VLOOKUP(B48,[2]Sheet1!$B$4:$J$188,9,0)</f>
        <v>#N/A</v>
      </c>
      <c r="AF48" s="20" t="e">
        <f t="shared" si="25"/>
        <v>#N/A</v>
      </c>
      <c r="AG48" s="21" t="str">
        <f>VLOOKUP(B48,'[3]MASTER -COLOR CODE'!$B$6:$C$337,2,0)</f>
        <v>RAJ KUMAR BAL </v>
      </c>
      <c r="AH48" s="21"/>
    </row>
    <row r="49" spans="1:34" s="22" customFormat="1" x14ac:dyDescent="0.25">
      <c r="A49" s="12">
        <v>48</v>
      </c>
      <c r="B49" s="13">
        <v>963</v>
      </c>
      <c r="C49" s="14" t="s">
        <v>117</v>
      </c>
      <c r="D49" s="15" t="s">
        <v>118</v>
      </c>
      <c r="E49" s="16">
        <v>900</v>
      </c>
      <c r="F49" s="17">
        <v>700</v>
      </c>
      <c r="G49" s="12">
        <v>31</v>
      </c>
      <c r="H49" s="12">
        <v>1</v>
      </c>
      <c r="I49" s="18">
        <f t="shared" si="18"/>
        <v>30</v>
      </c>
      <c r="J49" s="17">
        <f t="shared" si="1"/>
        <v>677.41935483870975</v>
      </c>
      <c r="K49" s="34"/>
      <c r="L49" s="17">
        <f t="shared" si="19"/>
        <v>0</v>
      </c>
      <c r="M49" s="12"/>
      <c r="N49" s="17">
        <f t="shared" si="20"/>
        <v>0</v>
      </c>
      <c r="O49" s="12"/>
      <c r="P49" s="17">
        <f t="shared" si="21"/>
        <v>0</v>
      </c>
      <c r="Q49" s="12">
        <f t="shared" si="22"/>
        <v>30</v>
      </c>
      <c r="R49" s="12">
        <v>200</v>
      </c>
      <c r="S49" s="17">
        <f t="shared" si="14"/>
        <v>193.54838709677418</v>
      </c>
      <c r="T49" s="12">
        <v>0</v>
      </c>
      <c r="U49" s="12">
        <v>100</v>
      </c>
      <c r="V49" s="12">
        <v>0</v>
      </c>
      <c r="W49" s="12">
        <v>0</v>
      </c>
      <c r="X49" s="17">
        <f t="shared" si="23"/>
        <v>970.9677419354839</v>
      </c>
      <c r="Y49" s="12"/>
      <c r="Z49" s="19"/>
      <c r="AA49" s="17">
        <f t="shared" si="7"/>
        <v>677.41935483870975</v>
      </c>
      <c r="AB49" s="20">
        <f t="shared" si="28"/>
        <v>293.54838709677415</v>
      </c>
      <c r="AC49" s="20" t="e">
        <f t="shared" si="16"/>
        <v>#N/A</v>
      </c>
      <c r="AD49" s="20" t="e">
        <f t="shared" si="24"/>
        <v>#N/A</v>
      </c>
      <c r="AE49" s="17" t="e">
        <f>VLOOKUP(B49,[2]Sheet1!$B$4:$J$188,9,0)</f>
        <v>#N/A</v>
      </c>
      <c r="AF49" s="20" t="e">
        <f t="shared" si="25"/>
        <v>#N/A</v>
      </c>
      <c r="AG49" s="21" t="str">
        <f>VLOOKUP(B49,'[3]MASTER -COLOR CODE'!$B$6:$C$337,2,0)</f>
        <v>JANAK YADAV</v>
      </c>
      <c r="AH49" s="21"/>
    </row>
    <row r="50" spans="1:34" s="22" customFormat="1" x14ac:dyDescent="0.25">
      <c r="A50" s="12">
        <v>49</v>
      </c>
      <c r="B50" s="13">
        <v>980</v>
      </c>
      <c r="C50" s="14" t="s">
        <v>119</v>
      </c>
      <c r="D50" s="15" t="s">
        <v>120</v>
      </c>
      <c r="E50" s="16">
        <v>900</v>
      </c>
      <c r="F50" s="17">
        <v>700</v>
      </c>
      <c r="G50" s="12">
        <v>31</v>
      </c>
      <c r="H50" s="12">
        <v>14</v>
      </c>
      <c r="I50" s="18">
        <f t="shared" si="18"/>
        <v>17</v>
      </c>
      <c r="J50" s="17">
        <f t="shared" si="1"/>
        <v>383.87096774193549</v>
      </c>
      <c r="K50" s="34"/>
      <c r="L50" s="17">
        <f t="shared" si="19"/>
        <v>0</v>
      </c>
      <c r="M50" s="12"/>
      <c r="N50" s="17">
        <f t="shared" si="20"/>
        <v>0</v>
      </c>
      <c r="O50" s="12"/>
      <c r="P50" s="17">
        <f t="shared" si="21"/>
        <v>0</v>
      </c>
      <c r="Q50" s="12">
        <f t="shared" si="22"/>
        <v>17</v>
      </c>
      <c r="R50" s="12">
        <v>200</v>
      </c>
      <c r="S50" s="17">
        <f t="shared" si="14"/>
        <v>109.6774193548387</v>
      </c>
      <c r="T50" s="12">
        <v>0</v>
      </c>
      <c r="U50" s="12">
        <v>100</v>
      </c>
      <c r="V50" s="12">
        <v>0</v>
      </c>
      <c r="W50" s="12">
        <v>0</v>
      </c>
      <c r="X50" s="17">
        <f t="shared" si="23"/>
        <v>593.54838709677415</v>
      </c>
      <c r="Y50" s="12"/>
      <c r="Z50" s="19"/>
      <c r="AA50" s="17">
        <f t="shared" si="7"/>
        <v>383.87096774193549</v>
      </c>
      <c r="AB50" s="20">
        <f t="shared" si="28"/>
        <v>209.67741935483866</v>
      </c>
      <c r="AC50" s="20" t="e">
        <f t="shared" si="16"/>
        <v>#N/A</v>
      </c>
      <c r="AD50" s="20" t="e">
        <f t="shared" si="24"/>
        <v>#N/A</v>
      </c>
      <c r="AE50" s="17" t="e">
        <f>VLOOKUP(B50,[2]Sheet1!$B$4:$J$188,9,0)</f>
        <v>#N/A</v>
      </c>
      <c r="AF50" s="20" t="e">
        <f t="shared" si="25"/>
        <v>#N/A</v>
      </c>
      <c r="AG50" s="21" t="str">
        <f>VLOOKUP(B50,'[3]MASTER -COLOR CODE'!$B$6:$C$337,2,0)</f>
        <v xml:space="preserve">AMRAT ULLAH MULTAN </v>
      </c>
      <c r="AH50" s="21"/>
    </row>
    <row r="51" spans="1:34" s="22" customFormat="1" x14ac:dyDescent="0.25">
      <c r="A51" s="12">
        <v>50</v>
      </c>
      <c r="B51" s="13">
        <v>982</v>
      </c>
      <c r="C51" s="14" t="s">
        <v>121</v>
      </c>
      <c r="D51" s="15" t="s">
        <v>122</v>
      </c>
      <c r="E51" s="16" t="s">
        <v>123</v>
      </c>
      <c r="F51" s="17">
        <v>700</v>
      </c>
      <c r="G51" s="12">
        <v>31</v>
      </c>
      <c r="H51" s="12">
        <v>14</v>
      </c>
      <c r="I51" s="18">
        <f t="shared" si="18"/>
        <v>17</v>
      </c>
      <c r="J51" s="17">
        <f t="shared" si="1"/>
        <v>383.87096774193549</v>
      </c>
      <c r="K51" s="34"/>
      <c r="L51" s="17">
        <f t="shared" si="19"/>
        <v>0</v>
      </c>
      <c r="M51" s="12"/>
      <c r="N51" s="17">
        <f t="shared" si="20"/>
        <v>0</v>
      </c>
      <c r="O51" s="12"/>
      <c r="P51" s="17">
        <f t="shared" si="21"/>
        <v>0</v>
      </c>
      <c r="Q51" s="12">
        <f t="shared" si="22"/>
        <v>17</v>
      </c>
      <c r="R51" s="12">
        <v>200</v>
      </c>
      <c r="S51" s="17">
        <f t="shared" si="14"/>
        <v>109.6774193548387</v>
      </c>
      <c r="T51" s="12">
        <v>0</v>
      </c>
      <c r="U51" s="12">
        <v>100</v>
      </c>
      <c r="V51" s="12">
        <v>0</v>
      </c>
      <c r="W51" s="12">
        <v>0</v>
      </c>
      <c r="X51" s="17">
        <f t="shared" si="23"/>
        <v>593.54838709677415</v>
      </c>
      <c r="Y51" s="12"/>
      <c r="Z51" s="19"/>
      <c r="AA51" s="17">
        <f t="shared" si="7"/>
        <v>383.87096774193549</v>
      </c>
      <c r="AB51" s="20">
        <f t="shared" si="28"/>
        <v>209.67741935483866</v>
      </c>
      <c r="AC51" s="20" t="e">
        <f t="shared" si="16"/>
        <v>#N/A</v>
      </c>
      <c r="AD51" s="20" t="e">
        <f t="shared" si="24"/>
        <v>#N/A</v>
      </c>
      <c r="AE51" s="17" t="e">
        <f>VLOOKUP(B51,[2]Sheet1!$B$4:$J$188,9,0)</f>
        <v>#N/A</v>
      </c>
      <c r="AF51" s="20" t="e">
        <f t="shared" si="25"/>
        <v>#N/A</v>
      </c>
      <c r="AG51" s="21" t="str">
        <f>VLOOKUP(B51,'[3]MASTER -COLOR CODE'!$B$6:$C$337,2,0)</f>
        <v>SHAH NAWAZ </v>
      </c>
      <c r="AH51" s="21"/>
    </row>
    <row r="52" spans="1:34" s="22" customFormat="1" x14ac:dyDescent="0.25">
      <c r="A52" s="12">
        <v>51</v>
      </c>
      <c r="B52" s="13">
        <v>984</v>
      </c>
      <c r="C52" s="14" t="s">
        <v>124</v>
      </c>
      <c r="D52" s="15" t="s">
        <v>125</v>
      </c>
      <c r="E52" s="16"/>
      <c r="F52" s="17">
        <v>700</v>
      </c>
      <c r="G52" s="12">
        <v>31</v>
      </c>
      <c r="H52" s="12">
        <v>1</v>
      </c>
      <c r="I52" s="18">
        <f t="shared" si="18"/>
        <v>30</v>
      </c>
      <c r="J52" s="17">
        <f t="shared" si="1"/>
        <v>677.41935483870975</v>
      </c>
      <c r="K52" s="34"/>
      <c r="L52" s="17">
        <f t="shared" si="19"/>
        <v>0</v>
      </c>
      <c r="M52" s="12"/>
      <c r="N52" s="17">
        <f t="shared" si="20"/>
        <v>0</v>
      </c>
      <c r="O52" s="12"/>
      <c r="P52" s="17">
        <f t="shared" si="21"/>
        <v>0</v>
      </c>
      <c r="Q52" s="12">
        <f t="shared" si="22"/>
        <v>30</v>
      </c>
      <c r="R52" s="12">
        <v>200</v>
      </c>
      <c r="S52" s="17">
        <f t="shared" ref="S52:S83" si="29">R52/G52*Q52</f>
        <v>193.54838709677418</v>
      </c>
      <c r="T52" s="12">
        <v>0</v>
      </c>
      <c r="U52" s="12">
        <v>0</v>
      </c>
      <c r="V52" s="12">
        <v>0</v>
      </c>
      <c r="W52" s="12">
        <v>0</v>
      </c>
      <c r="X52" s="17">
        <f t="shared" si="23"/>
        <v>870.9677419354839</v>
      </c>
      <c r="Y52" s="12"/>
      <c r="Z52" s="19"/>
      <c r="AA52" s="17">
        <f t="shared" si="7"/>
        <v>677.41935483870975</v>
      </c>
      <c r="AB52" s="20">
        <f t="shared" si="28"/>
        <v>193.54838709677415</v>
      </c>
      <c r="AC52" s="20" t="e">
        <f t="shared" si="16"/>
        <v>#N/A</v>
      </c>
      <c r="AD52" s="20" t="e">
        <f t="shared" si="24"/>
        <v>#N/A</v>
      </c>
      <c r="AE52" s="17" t="e">
        <f>VLOOKUP(B52,[2]Sheet1!$B$4:$J$188,9,0)</f>
        <v>#N/A</v>
      </c>
      <c r="AF52" s="20" t="e">
        <f t="shared" si="25"/>
        <v>#N/A</v>
      </c>
      <c r="AG52" s="21" t="str">
        <f>VLOOKUP(B52,'[3]MASTER -COLOR CODE'!$B$6:$C$337,2,0)</f>
        <v>SAMROZ DIN</v>
      </c>
      <c r="AH52" s="21"/>
    </row>
    <row r="53" spans="1:34" s="22" customFormat="1" x14ac:dyDescent="0.25">
      <c r="A53" s="12">
        <v>52</v>
      </c>
      <c r="B53" s="13">
        <v>995</v>
      </c>
      <c r="C53" s="14" t="s">
        <v>126</v>
      </c>
      <c r="D53" s="15" t="s">
        <v>127</v>
      </c>
      <c r="E53" s="16"/>
      <c r="F53" s="17">
        <v>700</v>
      </c>
      <c r="G53" s="12">
        <v>31</v>
      </c>
      <c r="H53" s="12">
        <v>0</v>
      </c>
      <c r="I53" s="18">
        <f t="shared" si="18"/>
        <v>31</v>
      </c>
      <c r="J53" s="17">
        <f t="shared" si="1"/>
        <v>700</v>
      </c>
      <c r="K53" s="34"/>
      <c r="L53" s="17">
        <f t="shared" si="19"/>
        <v>0</v>
      </c>
      <c r="M53" s="12"/>
      <c r="N53" s="17">
        <f t="shared" si="20"/>
        <v>0</v>
      </c>
      <c r="O53" s="12"/>
      <c r="P53" s="17">
        <f t="shared" si="21"/>
        <v>0</v>
      </c>
      <c r="Q53" s="12">
        <f t="shared" si="22"/>
        <v>31</v>
      </c>
      <c r="R53" s="12">
        <v>200</v>
      </c>
      <c r="S53" s="17">
        <f t="shared" si="29"/>
        <v>200</v>
      </c>
      <c r="T53" s="12">
        <v>0</v>
      </c>
      <c r="U53" s="12">
        <v>0</v>
      </c>
      <c r="V53" s="12">
        <v>0</v>
      </c>
      <c r="W53" s="12">
        <v>0</v>
      </c>
      <c r="X53" s="17">
        <f t="shared" si="23"/>
        <v>900</v>
      </c>
      <c r="Y53" s="12"/>
      <c r="Z53" s="19"/>
      <c r="AA53" s="17">
        <f t="shared" si="7"/>
        <v>700</v>
      </c>
      <c r="AB53" s="20">
        <f t="shared" si="28"/>
        <v>200</v>
      </c>
      <c r="AC53" s="20" t="e">
        <f t="shared" si="16"/>
        <v>#N/A</v>
      </c>
      <c r="AD53" s="20" t="e">
        <f t="shared" si="24"/>
        <v>#N/A</v>
      </c>
      <c r="AE53" s="17" t="e">
        <f>VLOOKUP(B53,[2]Sheet1!$B$4:$J$188,9,0)</f>
        <v>#N/A</v>
      </c>
      <c r="AF53" s="20" t="e">
        <f t="shared" si="25"/>
        <v>#N/A</v>
      </c>
      <c r="AG53" s="21" t="str">
        <f>VLOOKUP(B53,'[3]MASTER -COLOR CODE'!$B$6:$C$337,2,0)</f>
        <v>MUNAWAR SAEED ANWAR SAID</v>
      </c>
      <c r="AH53" s="21"/>
    </row>
    <row r="54" spans="1:34" s="22" customFormat="1" x14ac:dyDescent="0.25">
      <c r="A54" s="12">
        <v>53</v>
      </c>
      <c r="B54" s="13">
        <v>1009</v>
      </c>
      <c r="C54" s="14" t="s">
        <v>128</v>
      </c>
      <c r="D54" s="15" t="s">
        <v>129</v>
      </c>
      <c r="E54" s="16"/>
      <c r="F54" s="17">
        <v>900</v>
      </c>
      <c r="G54" s="12">
        <v>31</v>
      </c>
      <c r="H54" s="12">
        <v>0</v>
      </c>
      <c r="I54" s="18">
        <f t="shared" si="18"/>
        <v>31</v>
      </c>
      <c r="J54" s="17">
        <f t="shared" si="1"/>
        <v>900</v>
      </c>
      <c r="K54" s="34"/>
      <c r="L54" s="17">
        <f t="shared" si="19"/>
        <v>0</v>
      </c>
      <c r="M54" s="12"/>
      <c r="N54" s="17">
        <f t="shared" si="20"/>
        <v>0</v>
      </c>
      <c r="O54" s="12"/>
      <c r="P54" s="17">
        <f t="shared" si="21"/>
        <v>0</v>
      </c>
      <c r="Q54" s="12">
        <f t="shared" si="22"/>
        <v>31</v>
      </c>
      <c r="R54" s="12">
        <v>200</v>
      </c>
      <c r="S54" s="17">
        <f t="shared" si="29"/>
        <v>200</v>
      </c>
      <c r="T54" s="12">
        <f t="shared" ref="T54:T61" si="30">100/G54*I54</f>
        <v>100</v>
      </c>
      <c r="U54" s="12">
        <v>100</v>
      </c>
      <c r="V54" s="12">
        <v>0</v>
      </c>
      <c r="W54" s="12">
        <v>0</v>
      </c>
      <c r="X54" s="17">
        <f t="shared" si="23"/>
        <v>1300</v>
      </c>
      <c r="Y54" s="12"/>
      <c r="Z54" s="19"/>
      <c r="AA54" s="17">
        <f t="shared" si="7"/>
        <v>900</v>
      </c>
      <c r="AB54" s="20">
        <f t="shared" si="28"/>
        <v>400</v>
      </c>
      <c r="AC54" s="20" t="e">
        <f t="shared" si="16"/>
        <v>#N/A</v>
      </c>
      <c r="AD54" s="20" t="e">
        <f t="shared" si="24"/>
        <v>#N/A</v>
      </c>
      <c r="AE54" s="17" t="e">
        <f>VLOOKUP(B54,[2]Sheet1!$B$4:$J$188,9,0)</f>
        <v>#N/A</v>
      </c>
      <c r="AF54" s="20" t="e">
        <f t="shared" si="25"/>
        <v>#N/A</v>
      </c>
      <c r="AG54" s="21" t="str">
        <f>VLOOKUP(B54,'[3]MASTER -COLOR CODE'!$B$6:$C$337,2,0)</f>
        <v>HABIL MIA JAMALUDDIN</v>
      </c>
      <c r="AH54" s="21"/>
    </row>
    <row r="55" spans="1:34" s="22" customFormat="1" x14ac:dyDescent="0.25">
      <c r="A55" s="12">
        <v>54</v>
      </c>
      <c r="B55" s="13">
        <v>1012</v>
      </c>
      <c r="C55" s="14" t="s">
        <v>130</v>
      </c>
      <c r="D55" s="15" t="s">
        <v>131</v>
      </c>
      <c r="E55" s="16"/>
      <c r="F55" s="17">
        <v>900</v>
      </c>
      <c r="G55" s="12">
        <v>31</v>
      </c>
      <c r="H55" s="12">
        <v>0</v>
      </c>
      <c r="I55" s="18">
        <f t="shared" si="18"/>
        <v>31</v>
      </c>
      <c r="J55" s="17">
        <f t="shared" si="1"/>
        <v>900</v>
      </c>
      <c r="K55" s="34"/>
      <c r="L55" s="17">
        <f t="shared" si="19"/>
        <v>0</v>
      </c>
      <c r="M55" s="12"/>
      <c r="N55" s="17">
        <f t="shared" si="20"/>
        <v>0</v>
      </c>
      <c r="O55" s="12"/>
      <c r="P55" s="17">
        <f t="shared" si="21"/>
        <v>0</v>
      </c>
      <c r="Q55" s="12">
        <f t="shared" si="22"/>
        <v>31</v>
      </c>
      <c r="R55" s="12">
        <v>200</v>
      </c>
      <c r="S55" s="17">
        <f t="shared" si="29"/>
        <v>200</v>
      </c>
      <c r="T55" s="12">
        <f t="shared" si="30"/>
        <v>100</v>
      </c>
      <c r="U55" s="12">
        <v>100</v>
      </c>
      <c r="V55" s="12">
        <v>0</v>
      </c>
      <c r="W55" s="12">
        <v>0</v>
      </c>
      <c r="X55" s="17">
        <f t="shared" si="23"/>
        <v>1300</v>
      </c>
      <c r="Y55" s="12"/>
      <c r="Z55" s="19"/>
      <c r="AA55" s="17">
        <f t="shared" si="7"/>
        <v>900</v>
      </c>
      <c r="AB55" s="20">
        <f t="shared" si="28"/>
        <v>400</v>
      </c>
      <c r="AC55" s="20" t="e">
        <f t="shared" ref="AC55:AC72" si="31">AE55+AB55</f>
        <v>#N/A</v>
      </c>
      <c r="AD55" s="20" t="e">
        <f t="shared" si="24"/>
        <v>#N/A</v>
      </c>
      <c r="AE55" s="17" t="e">
        <f>VLOOKUP(B55,[2]Sheet1!$B$4:$J$188,9,0)</f>
        <v>#N/A</v>
      </c>
      <c r="AF55" s="20" t="e">
        <f t="shared" si="25"/>
        <v>#N/A</v>
      </c>
      <c r="AG55" s="21" t="str">
        <f>VLOOKUP(B55,'[3]MASTER -COLOR CODE'!$B$6:$C$337,2,0)</f>
        <v>JAFAR UDDIN KADAM ALI</v>
      </c>
      <c r="AH55" s="21"/>
    </row>
    <row r="56" spans="1:34" s="22" customFormat="1" x14ac:dyDescent="0.25">
      <c r="A56" s="12">
        <v>55</v>
      </c>
      <c r="B56" s="13">
        <v>1015</v>
      </c>
      <c r="C56" s="14" t="s">
        <v>132</v>
      </c>
      <c r="D56" s="15" t="s">
        <v>133</v>
      </c>
      <c r="E56" s="16"/>
      <c r="F56" s="17">
        <v>900</v>
      </c>
      <c r="G56" s="12">
        <v>31</v>
      </c>
      <c r="H56" s="12">
        <v>0</v>
      </c>
      <c r="I56" s="18">
        <f t="shared" si="18"/>
        <v>31</v>
      </c>
      <c r="J56" s="17">
        <f t="shared" si="1"/>
        <v>900</v>
      </c>
      <c r="K56" s="34"/>
      <c r="L56" s="17">
        <f t="shared" si="19"/>
        <v>0</v>
      </c>
      <c r="M56" s="12"/>
      <c r="N56" s="17">
        <f t="shared" si="20"/>
        <v>0</v>
      </c>
      <c r="O56" s="12"/>
      <c r="P56" s="17">
        <f t="shared" si="21"/>
        <v>0</v>
      </c>
      <c r="Q56" s="12">
        <f t="shared" si="22"/>
        <v>31</v>
      </c>
      <c r="R56" s="12">
        <v>200</v>
      </c>
      <c r="S56" s="17">
        <f t="shared" si="29"/>
        <v>200</v>
      </c>
      <c r="T56" s="12">
        <f t="shared" si="30"/>
        <v>100</v>
      </c>
      <c r="U56" s="12">
        <v>100</v>
      </c>
      <c r="V56" s="12">
        <v>0</v>
      </c>
      <c r="W56" s="12">
        <v>0</v>
      </c>
      <c r="X56" s="17">
        <f t="shared" si="23"/>
        <v>1300</v>
      </c>
      <c r="Y56" s="12"/>
      <c r="Z56" s="19"/>
      <c r="AA56" s="17">
        <f t="shared" si="7"/>
        <v>900</v>
      </c>
      <c r="AB56" s="20">
        <f t="shared" si="28"/>
        <v>400</v>
      </c>
      <c r="AC56" s="20" t="e">
        <f t="shared" si="31"/>
        <v>#N/A</v>
      </c>
      <c r="AD56" s="20" t="e">
        <f t="shared" si="24"/>
        <v>#N/A</v>
      </c>
      <c r="AE56" s="17" t="e">
        <f>VLOOKUP(B56,[2]Sheet1!$B$4:$J$188,9,0)</f>
        <v>#N/A</v>
      </c>
      <c r="AF56" s="20" t="e">
        <f t="shared" si="25"/>
        <v>#N/A</v>
      </c>
      <c r="AG56" s="21" t="str">
        <f>VLOOKUP(B56,'[3]MASTER -COLOR CODE'!$B$6:$C$337,2,0)</f>
        <v xml:space="preserve">HARBHAJAN SINGH SARWA </v>
      </c>
      <c r="AH56" s="21"/>
    </row>
    <row r="57" spans="1:34" s="22" customFormat="1" x14ac:dyDescent="0.25">
      <c r="A57" s="12">
        <v>56</v>
      </c>
      <c r="B57" s="13">
        <v>1034</v>
      </c>
      <c r="C57" s="14" t="s">
        <v>134</v>
      </c>
      <c r="D57" s="15" t="s">
        <v>135</v>
      </c>
      <c r="E57" s="16"/>
      <c r="F57" s="17">
        <v>900</v>
      </c>
      <c r="G57" s="12">
        <v>31</v>
      </c>
      <c r="H57" s="12">
        <v>0</v>
      </c>
      <c r="I57" s="18">
        <f t="shared" si="18"/>
        <v>31</v>
      </c>
      <c r="J57" s="17">
        <f t="shared" si="1"/>
        <v>900</v>
      </c>
      <c r="K57" s="34"/>
      <c r="L57" s="17">
        <f t="shared" si="19"/>
        <v>0</v>
      </c>
      <c r="M57" s="12"/>
      <c r="N57" s="17">
        <f t="shared" si="20"/>
        <v>0</v>
      </c>
      <c r="O57" s="12"/>
      <c r="P57" s="17">
        <f t="shared" si="21"/>
        <v>0</v>
      </c>
      <c r="Q57" s="12">
        <f t="shared" si="22"/>
        <v>31</v>
      </c>
      <c r="R57" s="12">
        <v>200</v>
      </c>
      <c r="S57" s="17">
        <f t="shared" si="29"/>
        <v>200</v>
      </c>
      <c r="T57" s="12">
        <f t="shared" si="30"/>
        <v>100</v>
      </c>
      <c r="U57" s="12">
        <v>100</v>
      </c>
      <c r="V57" s="12">
        <v>0</v>
      </c>
      <c r="W57" s="12">
        <v>0</v>
      </c>
      <c r="X57" s="17">
        <f t="shared" si="23"/>
        <v>1300</v>
      </c>
      <c r="Y57" s="12"/>
      <c r="Z57" s="19"/>
      <c r="AA57" s="17">
        <f t="shared" si="7"/>
        <v>900</v>
      </c>
      <c r="AB57" s="20">
        <f t="shared" si="28"/>
        <v>400</v>
      </c>
      <c r="AC57" s="20" t="e">
        <f t="shared" si="31"/>
        <v>#N/A</v>
      </c>
      <c r="AD57" s="20" t="e">
        <f t="shared" si="24"/>
        <v>#N/A</v>
      </c>
      <c r="AE57" s="17" t="e">
        <f>VLOOKUP(B57,[2]Sheet1!$B$4:$J$188,9,0)</f>
        <v>#N/A</v>
      </c>
      <c r="AF57" s="20" t="e">
        <f t="shared" si="25"/>
        <v>#N/A</v>
      </c>
      <c r="AG57" s="21" t="str">
        <f>VLOOKUP(B57,'[3]MASTER -COLOR CODE'!$B$6:$C$337,2,0)</f>
        <v>RAFIQUL SHORIF KUBAD</v>
      </c>
      <c r="AH57" s="21"/>
    </row>
    <row r="58" spans="1:34" s="22" customFormat="1" x14ac:dyDescent="0.25">
      <c r="A58" s="12">
        <v>57</v>
      </c>
      <c r="B58" s="13">
        <v>1035</v>
      </c>
      <c r="C58" s="14" t="s">
        <v>136</v>
      </c>
      <c r="D58" s="15" t="s">
        <v>137</v>
      </c>
      <c r="E58" s="16"/>
      <c r="F58" s="17">
        <v>900</v>
      </c>
      <c r="G58" s="12">
        <v>31</v>
      </c>
      <c r="H58" s="12">
        <v>1</v>
      </c>
      <c r="I58" s="18">
        <f t="shared" si="18"/>
        <v>30</v>
      </c>
      <c r="J58" s="17">
        <f t="shared" si="1"/>
        <v>870.9677419354839</v>
      </c>
      <c r="K58" s="34"/>
      <c r="L58" s="17">
        <f t="shared" si="19"/>
        <v>0</v>
      </c>
      <c r="M58" s="12"/>
      <c r="N58" s="17">
        <f t="shared" si="20"/>
        <v>0</v>
      </c>
      <c r="O58" s="12"/>
      <c r="P58" s="17">
        <f t="shared" si="21"/>
        <v>0</v>
      </c>
      <c r="Q58" s="12">
        <f t="shared" si="22"/>
        <v>30</v>
      </c>
      <c r="R58" s="12">
        <v>200</v>
      </c>
      <c r="S58" s="17">
        <f t="shared" si="29"/>
        <v>193.54838709677418</v>
      </c>
      <c r="T58" s="12">
        <f t="shared" si="30"/>
        <v>96.774193548387089</v>
      </c>
      <c r="U58" s="12">
        <v>100</v>
      </c>
      <c r="V58" s="12">
        <v>0</v>
      </c>
      <c r="W58" s="12">
        <v>0</v>
      </c>
      <c r="X58" s="17">
        <f t="shared" si="23"/>
        <v>1261.2903225806451</v>
      </c>
      <c r="Y58" s="12"/>
      <c r="Z58" s="19"/>
      <c r="AA58" s="17">
        <f t="shared" si="7"/>
        <v>870.9677419354839</v>
      </c>
      <c r="AB58" s="20">
        <f t="shared" si="28"/>
        <v>390.32258064516122</v>
      </c>
      <c r="AC58" s="20" t="e">
        <f t="shared" si="31"/>
        <v>#N/A</v>
      </c>
      <c r="AD58" s="20" t="e">
        <f t="shared" si="24"/>
        <v>#N/A</v>
      </c>
      <c r="AE58" s="17" t="e">
        <f>VLOOKUP(B58,[2]Sheet1!$B$4:$J$188,9,0)</f>
        <v>#N/A</v>
      </c>
      <c r="AF58" s="20" t="e">
        <f t="shared" si="25"/>
        <v>#N/A</v>
      </c>
      <c r="AG58" s="21" t="str">
        <f>VLOOKUP(B58,'[3]MASTER -COLOR CODE'!$B$6:$C$337,2,0)</f>
        <v>MAMUN JAYNAL ABEDIN</v>
      </c>
      <c r="AH58" s="21"/>
    </row>
    <row r="59" spans="1:34" s="22" customFormat="1" x14ac:dyDescent="0.25">
      <c r="A59" s="12">
        <v>58</v>
      </c>
      <c r="B59" s="13">
        <v>1045</v>
      </c>
      <c r="C59" s="14" t="s">
        <v>138</v>
      </c>
      <c r="D59" s="15" t="s">
        <v>139</v>
      </c>
      <c r="E59" s="16"/>
      <c r="F59" s="17">
        <v>900</v>
      </c>
      <c r="G59" s="12">
        <v>31</v>
      </c>
      <c r="H59" s="12">
        <v>0</v>
      </c>
      <c r="I59" s="18">
        <f t="shared" si="18"/>
        <v>31</v>
      </c>
      <c r="J59" s="17">
        <f t="shared" si="1"/>
        <v>900</v>
      </c>
      <c r="K59" s="34"/>
      <c r="L59" s="17">
        <f t="shared" si="19"/>
        <v>0</v>
      </c>
      <c r="M59" s="12"/>
      <c r="N59" s="17">
        <f t="shared" si="20"/>
        <v>0</v>
      </c>
      <c r="O59" s="12"/>
      <c r="P59" s="17">
        <f t="shared" si="21"/>
        <v>0</v>
      </c>
      <c r="Q59" s="12">
        <f t="shared" si="22"/>
        <v>31</v>
      </c>
      <c r="R59" s="12">
        <v>200</v>
      </c>
      <c r="S59" s="17">
        <f t="shared" si="29"/>
        <v>200</v>
      </c>
      <c r="T59" s="12">
        <f t="shared" si="30"/>
        <v>100</v>
      </c>
      <c r="U59" s="12">
        <v>200</v>
      </c>
      <c r="V59" s="12">
        <v>0</v>
      </c>
      <c r="W59" s="12">
        <v>0</v>
      </c>
      <c r="X59" s="17">
        <f t="shared" si="23"/>
        <v>1400</v>
      </c>
      <c r="Y59" s="12"/>
      <c r="Z59" s="19"/>
      <c r="AA59" s="17">
        <f t="shared" si="7"/>
        <v>900</v>
      </c>
      <c r="AB59" s="20">
        <f t="shared" si="28"/>
        <v>500</v>
      </c>
      <c r="AC59" s="20" t="e">
        <f t="shared" si="31"/>
        <v>#N/A</v>
      </c>
      <c r="AD59" s="20" t="e">
        <f t="shared" si="24"/>
        <v>#N/A</v>
      </c>
      <c r="AE59" s="17" t="e">
        <f>VLOOKUP(B59,[2]Sheet1!$B$4:$J$188,9,0)</f>
        <v>#N/A</v>
      </c>
      <c r="AF59" s="20" t="e">
        <f t="shared" si="25"/>
        <v>#N/A</v>
      </c>
      <c r="AG59" s="21" t="str">
        <f>VLOOKUP(B59,'[3]MASTER -COLOR CODE'!$B$6:$C$337,2,0)</f>
        <v>DALOWAR HOSSAIN</v>
      </c>
      <c r="AH59" s="21"/>
    </row>
    <row r="60" spans="1:34" s="22" customFormat="1" x14ac:dyDescent="0.25">
      <c r="A60" s="12">
        <v>59</v>
      </c>
      <c r="B60" s="13">
        <v>1055</v>
      </c>
      <c r="C60" s="14" t="s">
        <v>140</v>
      </c>
      <c r="D60" s="15" t="s">
        <v>141</v>
      </c>
      <c r="E60" s="16"/>
      <c r="F60" s="17">
        <v>900</v>
      </c>
      <c r="G60" s="12">
        <v>31</v>
      </c>
      <c r="H60" s="12">
        <v>0</v>
      </c>
      <c r="I60" s="18">
        <f t="shared" si="18"/>
        <v>31</v>
      </c>
      <c r="J60" s="17">
        <f t="shared" si="1"/>
        <v>900</v>
      </c>
      <c r="K60" s="34"/>
      <c r="L60" s="17">
        <f t="shared" si="19"/>
        <v>0</v>
      </c>
      <c r="M60" s="12"/>
      <c r="N60" s="17">
        <f t="shared" si="20"/>
        <v>0</v>
      </c>
      <c r="O60" s="12"/>
      <c r="P60" s="17">
        <f t="shared" si="21"/>
        <v>0</v>
      </c>
      <c r="Q60" s="12">
        <f t="shared" si="22"/>
        <v>31</v>
      </c>
      <c r="R60" s="12">
        <v>200</v>
      </c>
      <c r="S60" s="17">
        <f t="shared" si="29"/>
        <v>200</v>
      </c>
      <c r="T60" s="12">
        <f t="shared" si="30"/>
        <v>100</v>
      </c>
      <c r="U60" s="12">
        <v>200</v>
      </c>
      <c r="V60" s="12">
        <v>0</v>
      </c>
      <c r="W60" s="12">
        <v>0</v>
      </c>
      <c r="X60" s="17">
        <f t="shared" si="23"/>
        <v>1400</v>
      </c>
      <c r="Y60" s="12"/>
      <c r="Z60" s="19"/>
      <c r="AA60" s="17">
        <f t="shared" si="7"/>
        <v>900</v>
      </c>
      <c r="AB60" s="20">
        <f t="shared" si="28"/>
        <v>500</v>
      </c>
      <c r="AC60" s="20" t="e">
        <f t="shared" si="31"/>
        <v>#N/A</v>
      </c>
      <c r="AD60" s="20" t="e">
        <f t="shared" si="24"/>
        <v>#N/A</v>
      </c>
      <c r="AE60" s="17" t="e">
        <f>VLOOKUP(B60,[2]Sheet1!$B$4:$J$188,9,0)</f>
        <v>#N/A</v>
      </c>
      <c r="AF60" s="20" t="e">
        <f t="shared" si="25"/>
        <v>#N/A</v>
      </c>
      <c r="AG60" s="21" t="str">
        <f>VLOOKUP(B60,'[3]MASTER -COLOR CODE'!$B$6:$C$337,2,0)</f>
        <v>KAMALUDDIN AFILUDDIN</v>
      </c>
      <c r="AH60" s="21"/>
    </row>
    <row r="61" spans="1:34" s="22" customFormat="1" x14ac:dyDescent="0.25">
      <c r="A61" s="12">
        <v>60</v>
      </c>
      <c r="B61" s="13" t="s">
        <v>142</v>
      </c>
      <c r="C61" s="14" t="s">
        <v>143</v>
      </c>
      <c r="D61" s="15">
        <v>10025129273702</v>
      </c>
      <c r="E61" s="16"/>
      <c r="F61" s="17">
        <v>800</v>
      </c>
      <c r="G61" s="12">
        <v>31</v>
      </c>
      <c r="H61" s="12">
        <v>0</v>
      </c>
      <c r="I61" s="18">
        <f t="shared" si="18"/>
        <v>31</v>
      </c>
      <c r="J61" s="17">
        <f t="shared" si="1"/>
        <v>800</v>
      </c>
      <c r="K61" s="34"/>
      <c r="L61" s="17">
        <f t="shared" si="19"/>
        <v>0</v>
      </c>
      <c r="M61" s="12"/>
      <c r="N61" s="17">
        <f t="shared" si="20"/>
        <v>0</v>
      </c>
      <c r="O61" s="12"/>
      <c r="P61" s="17">
        <f t="shared" si="21"/>
        <v>0</v>
      </c>
      <c r="Q61" s="12">
        <f t="shared" si="22"/>
        <v>31</v>
      </c>
      <c r="R61" s="12">
        <v>200</v>
      </c>
      <c r="S61" s="17">
        <f t="shared" si="29"/>
        <v>200</v>
      </c>
      <c r="T61" s="12">
        <f t="shared" si="30"/>
        <v>100</v>
      </c>
      <c r="U61" s="12">
        <v>0</v>
      </c>
      <c r="V61" s="12">
        <v>0</v>
      </c>
      <c r="W61" s="12">
        <v>0</v>
      </c>
      <c r="X61" s="17">
        <f t="shared" si="23"/>
        <v>1100</v>
      </c>
      <c r="Y61" s="12"/>
      <c r="Z61" s="19"/>
      <c r="AA61" s="17">
        <f t="shared" si="7"/>
        <v>800</v>
      </c>
      <c r="AB61" s="20">
        <f t="shared" si="28"/>
        <v>300</v>
      </c>
      <c r="AC61" s="20">
        <f t="shared" si="31"/>
        <v>1100</v>
      </c>
      <c r="AD61" s="20">
        <f t="shared" si="24"/>
        <v>0</v>
      </c>
      <c r="AE61" s="17">
        <f>VLOOKUP(B61,[2]Sheet1!$B$4:$J$188,9,0)</f>
        <v>800</v>
      </c>
      <c r="AF61" s="20">
        <f t="shared" si="25"/>
        <v>300</v>
      </c>
      <c r="AG61" s="21" t="str">
        <f>VLOOKUP(B61,'[3]MASTER -COLOR CODE'!$B$6:$C$337,2,0)</f>
        <v>BODIRUJAMAN IMAMUL H</v>
      </c>
      <c r="AH61" s="21"/>
    </row>
    <row r="62" spans="1:34" s="22" customFormat="1" x14ac:dyDescent="0.25">
      <c r="A62" s="12">
        <v>61</v>
      </c>
      <c r="B62" s="13" t="s">
        <v>144</v>
      </c>
      <c r="C62" s="14" t="s">
        <v>145</v>
      </c>
      <c r="D62" s="15" t="s">
        <v>146</v>
      </c>
      <c r="E62" s="16"/>
      <c r="F62" s="17">
        <v>800</v>
      </c>
      <c r="G62" s="12">
        <v>31</v>
      </c>
      <c r="H62" s="12">
        <v>0</v>
      </c>
      <c r="I62" s="18">
        <f t="shared" si="18"/>
        <v>31</v>
      </c>
      <c r="J62" s="17">
        <f t="shared" si="1"/>
        <v>800</v>
      </c>
      <c r="K62" s="34"/>
      <c r="L62" s="17">
        <f t="shared" si="19"/>
        <v>0</v>
      </c>
      <c r="M62" s="12"/>
      <c r="N62" s="17">
        <f t="shared" si="20"/>
        <v>0</v>
      </c>
      <c r="O62" s="12"/>
      <c r="P62" s="17">
        <f t="shared" si="21"/>
        <v>0</v>
      </c>
      <c r="Q62" s="12">
        <f t="shared" si="22"/>
        <v>31</v>
      </c>
      <c r="R62" s="12">
        <v>200</v>
      </c>
      <c r="S62" s="17">
        <f t="shared" si="29"/>
        <v>200</v>
      </c>
      <c r="T62" s="12">
        <v>0</v>
      </c>
      <c r="U62" s="12">
        <v>0</v>
      </c>
      <c r="V62" s="12">
        <v>0</v>
      </c>
      <c r="W62" s="12">
        <v>0</v>
      </c>
      <c r="X62" s="17">
        <f t="shared" si="23"/>
        <v>1000</v>
      </c>
      <c r="Y62" s="12"/>
      <c r="Z62" s="19"/>
      <c r="AA62" s="17">
        <f t="shared" si="7"/>
        <v>800</v>
      </c>
      <c r="AB62" s="20">
        <f t="shared" si="28"/>
        <v>200</v>
      </c>
      <c r="AC62" s="20">
        <f t="shared" si="31"/>
        <v>1000</v>
      </c>
      <c r="AD62" s="20">
        <f t="shared" si="24"/>
        <v>0</v>
      </c>
      <c r="AE62" s="17">
        <f>VLOOKUP(B62,[2]Sheet1!$B$4:$J$188,9,0)</f>
        <v>800</v>
      </c>
      <c r="AF62" s="20">
        <f t="shared" si="25"/>
        <v>200</v>
      </c>
      <c r="AG62" s="21" t="str">
        <f>VLOOKUP(B62,'[3]MASTER -COLOR CODE'!$B$6:$C$337,2,0)</f>
        <v>HASAN SHIEKH</v>
      </c>
      <c r="AH62" s="21"/>
    </row>
    <row r="63" spans="1:34" s="22" customFormat="1" x14ac:dyDescent="0.25">
      <c r="A63" s="12">
        <v>62</v>
      </c>
      <c r="B63" s="13" t="s">
        <v>147</v>
      </c>
      <c r="C63" s="14" t="s">
        <v>148</v>
      </c>
      <c r="D63" s="15">
        <v>10001029387702</v>
      </c>
      <c r="E63" s="16"/>
      <c r="F63" s="17">
        <v>800</v>
      </c>
      <c r="G63" s="12">
        <v>31</v>
      </c>
      <c r="H63" s="12">
        <v>16</v>
      </c>
      <c r="I63" s="18">
        <f t="shared" si="18"/>
        <v>15</v>
      </c>
      <c r="J63" s="17">
        <f t="shared" si="1"/>
        <v>387.09677419354836</v>
      </c>
      <c r="K63" s="34"/>
      <c r="L63" s="17">
        <f t="shared" si="19"/>
        <v>0</v>
      </c>
      <c r="M63" s="12"/>
      <c r="N63" s="17">
        <f t="shared" si="20"/>
        <v>0</v>
      </c>
      <c r="O63" s="12"/>
      <c r="P63" s="17">
        <f t="shared" si="21"/>
        <v>0</v>
      </c>
      <c r="Q63" s="12">
        <f t="shared" si="22"/>
        <v>15</v>
      </c>
      <c r="R63" s="12">
        <v>200</v>
      </c>
      <c r="S63" s="17">
        <f t="shared" si="29"/>
        <v>96.774193548387089</v>
      </c>
      <c r="T63" s="12">
        <f>100/G63*I63</f>
        <v>48.387096774193544</v>
      </c>
      <c r="U63" s="12">
        <v>0</v>
      </c>
      <c r="V63" s="12">
        <v>0</v>
      </c>
      <c r="W63" s="12">
        <v>0</v>
      </c>
      <c r="X63" s="17">
        <f t="shared" si="23"/>
        <v>532.25806451612902</v>
      </c>
      <c r="Y63" s="12"/>
      <c r="Z63" s="19"/>
      <c r="AA63" s="17">
        <f t="shared" si="7"/>
        <v>387.09677419354836</v>
      </c>
      <c r="AB63" s="20">
        <f t="shared" si="28"/>
        <v>145.16129032258067</v>
      </c>
      <c r="AC63" s="20">
        <f t="shared" si="31"/>
        <v>945.16129032258073</v>
      </c>
      <c r="AD63" s="20">
        <f t="shared" si="24"/>
        <v>-412.9032258064517</v>
      </c>
      <c r="AE63" s="17">
        <f>VLOOKUP(B63,[2]Sheet1!$B$4:$J$188,9,0)</f>
        <v>800</v>
      </c>
      <c r="AF63" s="20">
        <f t="shared" si="25"/>
        <v>-267.74193548387098</v>
      </c>
      <c r="AG63" s="21" t="str">
        <f>VLOOKUP(B63,'[3]MASTER -COLOR CODE'!$B$6:$C$337,2,0)</f>
        <v xml:space="preserve">JAVED KHAN JUMMAN </v>
      </c>
      <c r="AH63" s="21"/>
    </row>
    <row r="64" spans="1:34" s="22" customFormat="1" x14ac:dyDescent="0.25">
      <c r="A64" s="12">
        <v>63</v>
      </c>
      <c r="B64" s="13" t="s">
        <v>149</v>
      </c>
      <c r="C64" s="14" t="s">
        <v>150</v>
      </c>
      <c r="D64" s="15"/>
      <c r="E64" s="16"/>
      <c r="F64" s="17">
        <v>800</v>
      </c>
      <c r="G64" s="12">
        <v>31</v>
      </c>
      <c r="H64" s="12">
        <v>0</v>
      </c>
      <c r="I64" s="18">
        <f t="shared" si="18"/>
        <v>31</v>
      </c>
      <c r="J64" s="17">
        <f t="shared" si="1"/>
        <v>800</v>
      </c>
      <c r="K64" s="34"/>
      <c r="L64" s="17">
        <f t="shared" si="19"/>
        <v>0</v>
      </c>
      <c r="M64" s="12"/>
      <c r="N64" s="17">
        <f t="shared" si="20"/>
        <v>0</v>
      </c>
      <c r="O64" s="12"/>
      <c r="P64" s="17">
        <f t="shared" si="21"/>
        <v>0</v>
      </c>
      <c r="Q64" s="12">
        <f t="shared" si="22"/>
        <v>31</v>
      </c>
      <c r="R64" s="12">
        <v>200</v>
      </c>
      <c r="S64" s="17">
        <f t="shared" si="29"/>
        <v>200</v>
      </c>
      <c r="T64" s="12">
        <f>100/G64*I64</f>
        <v>100</v>
      </c>
      <c r="U64" s="12">
        <v>0</v>
      </c>
      <c r="V64" s="12">
        <v>0</v>
      </c>
      <c r="W64" s="12">
        <v>0</v>
      </c>
      <c r="X64" s="17">
        <f t="shared" si="23"/>
        <v>1100</v>
      </c>
      <c r="Y64" s="12"/>
      <c r="Z64" s="19"/>
      <c r="AA64" s="17">
        <f t="shared" si="7"/>
        <v>800</v>
      </c>
      <c r="AB64" s="20">
        <f t="shared" si="28"/>
        <v>300</v>
      </c>
      <c r="AC64" s="20">
        <f t="shared" si="31"/>
        <v>1100</v>
      </c>
      <c r="AD64" s="20">
        <f t="shared" si="24"/>
        <v>0</v>
      </c>
      <c r="AE64" s="17">
        <f>VLOOKUP(B64,[2]Sheet1!$B$4:$J$188,9,0)</f>
        <v>800</v>
      </c>
      <c r="AF64" s="20">
        <f t="shared" si="25"/>
        <v>300</v>
      </c>
      <c r="AG64" s="21" t="str">
        <f>VLOOKUP(B64,'[3]MASTER -COLOR CODE'!$B$6:$C$337,2,0)</f>
        <v>NARAJUL SEKH NASIR S</v>
      </c>
      <c r="AH64" s="21"/>
    </row>
    <row r="65" spans="1:34" s="22" customFormat="1" x14ac:dyDescent="0.25">
      <c r="A65" s="12">
        <v>64</v>
      </c>
      <c r="B65" s="13" t="s">
        <v>151</v>
      </c>
      <c r="C65" s="14" t="s">
        <v>152</v>
      </c>
      <c r="D65" s="15">
        <v>10001018281822</v>
      </c>
      <c r="E65" s="16"/>
      <c r="F65" s="17">
        <v>800</v>
      </c>
      <c r="G65" s="12">
        <v>31</v>
      </c>
      <c r="H65" s="12">
        <v>0</v>
      </c>
      <c r="I65" s="18">
        <f t="shared" si="18"/>
        <v>31</v>
      </c>
      <c r="J65" s="17">
        <f t="shared" si="1"/>
        <v>800</v>
      </c>
      <c r="K65" s="34"/>
      <c r="L65" s="17">
        <f t="shared" si="19"/>
        <v>0</v>
      </c>
      <c r="M65" s="12"/>
      <c r="N65" s="17">
        <f t="shared" si="20"/>
        <v>0</v>
      </c>
      <c r="O65" s="12"/>
      <c r="P65" s="17">
        <f t="shared" si="21"/>
        <v>0</v>
      </c>
      <c r="Q65" s="12">
        <f t="shared" si="22"/>
        <v>31</v>
      </c>
      <c r="R65" s="12">
        <v>200</v>
      </c>
      <c r="S65" s="17">
        <f t="shared" si="29"/>
        <v>200</v>
      </c>
      <c r="T65" s="12">
        <v>0</v>
      </c>
      <c r="U65" s="12">
        <v>0</v>
      </c>
      <c r="V65" s="12">
        <v>0</v>
      </c>
      <c r="W65" s="12">
        <v>0</v>
      </c>
      <c r="X65" s="17">
        <f t="shared" si="23"/>
        <v>1000</v>
      </c>
      <c r="Y65" s="12"/>
      <c r="Z65" s="19"/>
      <c r="AA65" s="17">
        <f t="shared" si="7"/>
        <v>800</v>
      </c>
      <c r="AB65" s="20">
        <f t="shared" si="28"/>
        <v>200</v>
      </c>
      <c r="AC65" s="20">
        <f t="shared" si="31"/>
        <v>1000</v>
      </c>
      <c r="AD65" s="20">
        <f t="shared" si="24"/>
        <v>0</v>
      </c>
      <c r="AE65" s="17">
        <f>VLOOKUP(B65,[2]Sheet1!$B$4:$J$188,9,0)</f>
        <v>800</v>
      </c>
      <c r="AF65" s="20">
        <f t="shared" si="25"/>
        <v>200</v>
      </c>
      <c r="AG65" s="21" t="str">
        <f>VLOOKUP(B65,'[3]MASTER -COLOR CODE'!$B$6:$C$337,2,0)</f>
        <v>NUR ISLAM SEIKH SULT</v>
      </c>
      <c r="AH65" s="21"/>
    </row>
    <row r="66" spans="1:34" s="22" customFormat="1" x14ac:dyDescent="0.25">
      <c r="A66" s="12">
        <v>65</v>
      </c>
      <c r="B66" s="13" t="s">
        <v>153</v>
      </c>
      <c r="C66" s="14" t="s">
        <v>154</v>
      </c>
      <c r="D66" s="15">
        <v>20030038783899</v>
      </c>
      <c r="E66" s="16"/>
      <c r="F66" s="17">
        <v>800</v>
      </c>
      <c r="G66" s="12">
        <v>31</v>
      </c>
      <c r="H66" s="12">
        <v>23</v>
      </c>
      <c r="I66" s="18">
        <f t="shared" ref="I66:I97" si="32">G66-H66</f>
        <v>8</v>
      </c>
      <c r="J66" s="17">
        <f t="shared" ref="J66:J129" si="33">F66/G66*I66</f>
        <v>206.45161290322579</v>
      </c>
      <c r="K66" s="34"/>
      <c r="L66" s="17">
        <f t="shared" ref="L66:L97" si="34">F66/30/8*1.25*K66</f>
        <v>0</v>
      </c>
      <c r="M66" s="12"/>
      <c r="N66" s="17">
        <f t="shared" ref="N66:N97" si="35">F66/30/8*1.25*M66</f>
        <v>0</v>
      </c>
      <c r="O66" s="12"/>
      <c r="P66" s="17">
        <f t="shared" ref="P66:P97" si="36">F66/30/8*1.5*O66</f>
        <v>0</v>
      </c>
      <c r="Q66" s="12">
        <f t="shared" ref="Q66:Q97" si="37">I66</f>
        <v>8</v>
      </c>
      <c r="R66" s="12">
        <v>200</v>
      </c>
      <c r="S66" s="17">
        <f t="shared" si="29"/>
        <v>51.612903225806448</v>
      </c>
      <c r="T66" s="12">
        <v>0</v>
      </c>
      <c r="U66" s="12">
        <v>0</v>
      </c>
      <c r="V66" s="12">
        <v>0</v>
      </c>
      <c r="W66" s="12">
        <v>0</v>
      </c>
      <c r="X66" s="17">
        <f t="shared" ref="X66:X97" si="38">J66+L66+N66+P66+S66+T66+U66+V66-W66</f>
        <v>258.06451612903226</v>
      </c>
      <c r="Y66" s="12"/>
      <c r="Z66" s="19"/>
      <c r="AA66" s="17">
        <f t="shared" ref="AA66:AA129" si="39">J66</f>
        <v>206.45161290322579</v>
      </c>
      <c r="AB66" s="20">
        <f t="shared" si="28"/>
        <v>51.612903225806463</v>
      </c>
      <c r="AC66" s="20">
        <f t="shared" si="31"/>
        <v>451.61290322580646</v>
      </c>
      <c r="AD66" s="20">
        <f t="shared" ref="AD66:AD97" si="40">X66-AC66</f>
        <v>-193.54838709677421</v>
      </c>
      <c r="AE66" s="17">
        <f>VLOOKUP(B66,[2]Sheet1!$B$4:$J$188,9,0)</f>
        <v>400</v>
      </c>
      <c r="AF66" s="20">
        <f t="shared" ref="AF66:AF97" si="41">X66-AE66</f>
        <v>-141.93548387096774</v>
      </c>
      <c r="AG66" s="21" t="str">
        <f>VLOOKUP(B66,'[3]MASTER -COLOR CODE'!$B$6:$C$337,2,0)</f>
        <v xml:space="preserve">MUHAMMAD KAMIL ABDUL </v>
      </c>
      <c r="AH66" s="21"/>
    </row>
    <row r="67" spans="1:34" s="63" customFormat="1" x14ac:dyDescent="0.25">
      <c r="A67" s="53">
        <v>66</v>
      </c>
      <c r="B67" s="54" t="s">
        <v>155</v>
      </c>
      <c r="C67" s="55" t="s">
        <v>156</v>
      </c>
      <c r="D67" s="56" t="s">
        <v>157</v>
      </c>
      <c r="E67" s="57"/>
      <c r="F67" s="58">
        <v>800</v>
      </c>
      <c r="G67" s="53">
        <v>31</v>
      </c>
      <c r="H67" s="53">
        <v>31</v>
      </c>
      <c r="I67" s="59">
        <f t="shared" si="32"/>
        <v>0</v>
      </c>
      <c r="J67" s="58">
        <f t="shared" si="33"/>
        <v>0</v>
      </c>
      <c r="K67" s="53"/>
      <c r="L67" s="58">
        <f t="shared" si="34"/>
        <v>0</v>
      </c>
      <c r="M67" s="53"/>
      <c r="N67" s="58">
        <f t="shared" si="35"/>
        <v>0</v>
      </c>
      <c r="O67" s="53"/>
      <c r="P67" s="58">
        <f t="shared" si="36"/>
        <v>0</v>
      </c>
      <c r="Q67" s="53">
        <f t="shared" si="37"/>
        <v>0</v>
      </c>
      <c r="R67" s="53">
        <v>200</v>
      </c>
      <c r="S67" s="58">
        <f t="shared" si="29"/>
        <v>0</v>
      </c>
      <c r="T67" s="53">
        <f>100/G67*I67</f>
        <v>0</v>
      </c>
      <c r="U67" s="53">
        <v>0</v>
      </c>
      <c r="V67" s="53">
        <v>0</v>
      </c>
      <c r="W67" s="53">
        <v>0</v>
      </c>
      <c r="X67" s="58">
        <f t="shared" si="38"/>
        <v>0</v>
      </c>
      <c r="Y67" s="53"/>
      <c r="Z67" s="60"/>
      <c r="AA67" s="58">
        <f t="shared" si="39"/>
        <v>0</v>
      </c>
      <c r="AB67" s="61">
        <f t="shared" si="28"/>
        <v>0</v>
      </c>
      <c r="AC67" s="61">
        <f t="shared" si="31"/>
        <v>80</v>
      </c>
      <c r="AD67" s="61">
        <f t="shared" si="40"/>
        <v>-80</v>
      </c>
      <c r="AE67" s="58">
        <f>VLOOKUP(B67,[2]Sheet1!$B$4:$J$188,9,0)</f>
        <v>80</v>
      </c>
      <c r="AF67" s="61">
        <f t="shared" si="41"/>
        <v>-80</v>
      </c>
      <c r="AG67" s="62" t="str">
        <f>VLOOKUP(B67,'[3]MASTER -COLOR CODE'!$B$6:$C$337,2,0)</f>
        <v xml:space="preserve">MOHAMMAD NUR KALAM </v>
      </c>
      <c r="AH67" s="62"/>
    </row>
    <row r="68" spans="1:34" s="22" customFormat="1" x14ac:dyDescent="0.25">
      <c r="A68" s="12">
        <v>67</v>
      </c>
      <c r="B68" s="13" t="s">
        <v>158</v>
      </c>
      <c r="C68" s="14" t="s">
        <v>159</v>
      </c>
      <c r="D68" s="15">
        <v>10005108881515</v>
      </c>
      <c r="E68" s="16"/>
      <c r="F68" s="17">
        <v>800</v>
      </c>
      <c r="G68" s="12">
        <v>31</v>
      </c>
      <c r="H68" s="12">
        <v>0</v>
      </c>
      <c r="I68" s="18">
        <f t="shared" si="32"/>
        <v>31</v>
      </c>
      <c r="J68" s="17">
        <f t="shared" si="33"/>
        <v>800</v>
      </c>
      <c r="K68" s="34"/>
      <c r="L68" s="17">
        <f t="shared" si="34"/>
        <v>0</v>
      </c>
      <c r="M68" s="12"/>
      <c r="N68" s="17">
        <f t="shared" si="35"/>
        <v>0</v>
      </c>
      <c r="O68" s="12"/>
      <c r="P68" s="17">
        <f t="shared" si="36"/>
        <v>0</v>
      </c>
      <c r="Q68" s="12">
        <f t="shared" si="37"/>
        <v>31</v>
      </c>
      <c r="R68" s="12">
        <v>200</v>
      </c>
      <c r="S68" s="17">
        <f t="shared" si="29"/>
        <v>200</v>
      </c>
      <c r="T68" s="12">
        <f>100/G68*I68</f>
        <v>100</v>
      </c>
      <c r="U68" s="12">
        <v>0</v>
      </c>
      <c r="V68" s="12">
        <v>0</v>
      </c>
      <c r="W68" s="12">
        <v>0</v>
      </c>
      <c r="X68" s="17">
        <f t="shared" si="38"/>
        <v>1100</v>
      </c>
      <c r="Y68" s="12"/>
      <c r="Z68" s="19"/>
      <c r="AA68" s="17">
        <f t="shared" si="39"/>
        <v>800</v>
      </c>
      <c r="AB68" s="20">
        <f t="shared" si="28"/>
        <v>300</v>
      </c>
      <c r="AC68" s="20">
        <f t="shared" si="31"/>
        <v>1073</v>
      </c>
      <c r="AD68" s="20">
        <f t="shared" si="40"/>
        <v>27</v>
      </c>
      <c r="AE68" s="17">
        <f>VLOOKUP(B68,[2]Sheet1!$B$4:$J$188,9,0)</f>
        <v>773</v>
      </c>
      <c r="AF68" s="20">
        <f t="shared" si="41"/>
        <v>327</v>
      </c>
      <c r="AG68" s="21" t="str">
        <f>VLOOKUP(B68,'[3]MASTER -COLOR CODE'!$B$6:$C$337,2,0)</f>
        <v>KAWSAR ALI MAJIBUL S</v>
      </c>
      <c r="AH68" s="21"/>
    </row>
    <row r="69" spans="1:34" s="22" customFormat="1" x14ac:dyDescent="0.25">
      <c r="A69" s="12">
        <v>68</v>
      </c>
      <c r="B69" s="13" t="s">
        <v>160</v>
      </c>
      <c r="C69" s="14" t="s">
        <v>161</v>
      </c>
      <c r="D69" s="15">
        <v>10010067492279</v>
      </c>
      <c r="E69" s="16"/>
      <c r="F69" s="17">
        <v>800</v>
      </c>
      <c r="G69" s="12">
        <v>31</v>
      </c>
      <c r="H69" s="12">
        <v>0</v>
      </c>
      <c r="I69" s="18">
        <f t="shared" si="32"/>
        <v>31</v>
      </c>
      <c r="J69" s="17">
        <f t="shared" si="33"/>
        <v>800</v>
      </c>
      <c r="K69" s="34"/>
      <c r="L69" s="17">
        <f t="shared" si="34"/>
        <v>0</v>
      </c>
      <c r="M69" s="12"/>
      <c r="N69" s="17">
        <f t="shared" si="35"/>
        <v>0</v>
      </c>
      <c r="O69" s="12"/>
      <c r="P69" s="17">
        <f t="shared" si="36"/>
        <v>0</v>
      </c>
      <c r="Q69" s="12">
        <f t="shared" si="37"/>
        <v>31</v>
      </c>
      <c r="R69" s="12">
        <v>200</v>
      </c>
      <c r="S69" s="17">
        <f t="shared" si="29"/>
        <v>200</v>
      </c>
      <c r="T69" s="12">
        <v>0</v>
      </c>
      <c r="U69" s="12">
        <v>0</v>
      </c>
      <c r="V69" s="12">
        <v>0</v>
      </c>
      <c r="W69" s="12">
        <v>0</v>
      </c>
      <c r="X69" s="17">
        <f t="shared" si="38"/>
        <v>1000</v>
      </c>
      <c r="Y69" s="12"/>
      <c r="Z69" s="19"/>
      <c r="AA69" s="17">
        <f t="shared" si="39"/>
        <v>800</v>
      </c>
      <c r="AB69" s="20">
        <f t="shared" si="28"/>
        <v>200</v>
      </c>
      <c r="AC69" s="20">
        <f t="shared" si="31"/>
        <v>947</v>
      </c>
      <c r="AD69" s="20">
        <f t="shared" si="40"/>
        <v>53</v>
      </c>
      <c r="AE69" s="17">
        <f>VLOOKUP(B69,[2]Sheet1!$B$4:$J$188,9,0)</f>
        <v>747</v>
      </c>
      <c r="AF69" s="20">
        <f t="shared" si="41"/>
        <v>253</v>
      </c>
      <c r="AG69" s="21" t="str">
        <f>VLOOKUP(B69,'[3]MASTER -COLOR CODE'!$B$6:$C$337,2,0)</f>
        <v>SAID AHMED QURESHI</v>
      </c>
      <c r="AH69" s="21"/>
    </row>
    <row r="70" spans="1:34" s="22" customFormat="1" x14ac:dyDescent="0.25">
      <c r="A70" s="12">
        <v>69</v>
      </c>
      <c r="B70" s="13" t="s">
        <v>162</v>
      </c>
      <c r="C70" s="14" t="s">
        <v>163</v>
      </c>
      <c r="D70" s="15">
        <v>10001018881866</v>
      </c>
      <c r="E70" s="16"/>
      <c r="F70" s="17">
        <v>800</v>
      </c>
      <c r="G70" s="12">
        <v>31</v>
      </c>
      <c r="H70" s="12">
        <v>0</v>
      </c>
      <c r="I70" s="18">
        <f t="shared" si="32"/>
        <v>31</v>
      </c>
      <c r="J70" s="17">
        <f t="shared" si="33"/>
        <v>800</v>
      </c>
      <c r="K70" s="34"/>
      <c r="L70" s="17">
        <f t="shared" si="34"/>
        <v>0</v>
      </c>
      <c r="M70" s="12"/>
      <c r="N70" s="17">
        <f t="shared" si="35"/>
        <v>0</v>
      </c>
      <c r="O70" s="12"/>
      <c r="P70" s="17">
        <f t="shared" si="36"/>
        <v>0</v>
      </c>
      <c r="Q70" s="12">
        <f t="shared" si="37"/>
        <v>31</v>
      </c>
      <c r="R70" s="12">
        <v>0</v>
      </c>
      <c r="S70" s="17">
        <f t="shared" si="29"/>
        <v>0</v>
      </c>
      <c r="T70" s="12">
        <f>100/G70*I70</f>
        <v>100</v>
      </c>
      <c r="U70" s="12">
        <v>0</v>
      </c>
      <c r="V70" s="12">
        <v>0</v>
      </c>
      <c r="W70" s="12">
        <v>0</v>
      </c>
      <c r="X70" s="17">
        <f t="shared" si="38"/>
        <v>900</v>
      </c>
      <c r="Y70" s="12"/>
      <c r="Z70" s="19"/>
      <c r="AA70" s="17">
        <f t="shared" si="39"/>
        <v>800</v>
      </c>
      <c r="AB70" s="20">
        <f t="shared" si="28"/>
        <v>100</v>
      </c>
      <c r="AC70" s="20">
        <f t="shared" si="31"/>
        <v>900</v>
      </c>
      <c r="AD70" s="20">
        <f t="shared" si="40"/>
        <v>0</v>
      </c>
      <c r="AE70" s="17">
        <f>VLOOKUP(B70,[2]Sheet1!$B$4:$J$188,9,0)</f>
        <v>800</v>
      </c>
      <c r="AF70" s="20">
        <f t="shared" si="41"/>
        <v>100</v>
      </c>
      <c r="AG70" s="21" t="str">
        <f>VLOOKUP(B70,'[3]MASTER -COLOR CODE'!$B$6:$C$337,2,0)</f>
        <v>MAHARFUL SEKH JANSAD SEIKH</v>
      </c>
      <c r="AH70" s="21"/>
    </row>
    <row r="71" spans="1:34" s="22" customFormat="1" ht="18.75" x14ac:dyDescent="0.3">
      <c r="A71" s="12">
        <v>70</v>
      </c>
      <c r="B71" s="64" t="s">
        <v>164</v>
      </c>
      <c r="C71" s="14" t="s">
        <v>165</v>
      </c>
      <c r="D71" s="15" t="s">
        <v>166</v>
      </c>
      <c r="E71" s="16"/>
      <c r="F71" s="17">
        <v>800</v>
      </c>
      <c r="G71" s="12">
        <v>31</v>
      </c>
      <c r="H71" s="12">
        <v>0</v>
      </c>
      <c r="I71" s="18">
        <f t="shared" si="32"/>
        <v>31</v>
      </c>
      <c r="J71" s="17">
        <f t="shared" si="33"/>
        <v>800</v>
      </c>
      <c r="K71" s="34"/>
      <c r="L71" s="17">
        <f t="shared" si="34"/>
        <v>0</v>
      </c>
      <c r="M71" s="12"/>
      <c r="N71" s="17">
        <f t="shared" si="35"/>
        <v>0</v>
      </c>
      <c r="O71" s="12"/>
      <c r="P71" s="17">
        <f t="shared" si="36"/>
        <v>0</v>
      </c>
      <c r="Q71" s="12">
        <f t="shared" si="37"/>
        <v>31</v>
      </c>
      <c r="R71" s="12">
        <v>200</v>
      </c>
      <c r="S71" s="17">
        <f t="shared" si="29"/>
        <v>200</v>
      </c>
      <c r="T71" s="12">
        <f>100/G71*I71</f>
        <v>100</v>
      </c>
      <c r="U71" s="12">
        <v>0</v>
      </c>
      <c r="V71" s="12">
        <v>0</v>
      </c>
      <c r="W71" s="12">
        <v>0</v>
      </c>
      <c r="X71" s="17">
        <f t="shared" si="38"/>
        <v>1100</v>
      </c>
      <c r="Y71" s="12"/>
      <c r="Z71" s="19"/>
      <c r="AA71" s="17">
        <f t="shared" si="39"/>
        <v>800</v>
      </c>
      <c r="AB71" s="20">
        <f t="shared" si="28"/>
        <v>300</v>
      </c>
      <c r="AC71" s="20">
        <f t="shared" si="31"/>
        <v>1100</v>
      </c>
      <c r="AD71" s="20">
        <f t="shared" si="40"/>
        <v>0</v>
      </c>
      <c r="AE71" s="17">
        <f>VLOOKUP(B71,[2]Sheet1!$B$4:$J$188,9,0)</f>
        <v>800</v>
      </c>
      <c r="AF71" s="20">
        <f t="shared" si="41"/>
        <v>300</v>
      </c>
      <c r="AG71" s="21" t="str">
        <f>VLOOKUP(B71,'[3]MASTER -COLOR CODE'!$B$6:$C$337,2,0)</f>
        <v>ABDUL HAI AAHRAHIM SEKH</v>
      </c>
      <c r="AH71" s="21"/>
    </row>
    <row r="72" spans="1:34" s="22" customFormat="1" x14ac:dyDescent="0.25">
      <c r="A72" s="12">
        <v>71</v>
      </c>
      <c r="B72" s="13" t="s">
        <v>167</v>
      </c>
      <c r="C72" s="14" t="s">
        <v>168</v>
      </c>
      <c r="D72" s="15">
        <v>10006038034486</v>
      </c>
      <c r="E72" s="16"/>
      <c r="F72" s="17">
        <v>800</v>
      </c>
      <c r="G72" s="12">
        <v>31</v>
      </c>
      <c r="H72" s="12">
        <v>0</v>
      </c>
      <c r="I72" s="18">
        <f t="shared" si="32"/>
        <v>31</v>
      </c>
      <c r="J72" s="17">
        <f t="shared" si="33"/>
        <v>800</v>
      </c>
      <c r="K72" s="34"/>
      <c r="L72" s="17">
        <f t="shared" si="34"/>
        <v>0</v>
      </c>
      <c r="M72" s="12"/>
      <c r="N72" s="17">
        <f t="shared" si="35"/>
        <v>0</v>
      </c>
      <c r="O72" s="12"/>
      <c r="P72" s="17">
        <f t="shared" si="36"/>
        <v>0</v>
      </c>
      <c r="Q72" s="12">
        <f t="shared" si="37"/>
        <v>31</v>
      </c>
      <c r="R72" s="12">
        <v>200</v>
      </c>
      <c r="S72" s="17">
        <f t="shared" si="29"/>
        <v>200</v>
      </c>
      <c r="T72" s="12">
        <v>0</v>
      </c>
      <c r="U72" s="12">
        <v>0</v>
      </c>
      <c r="V72" s="12">
        <v>0</v>
      </c>
      <c r="W72" s="12">
        <v>0</v>
      </c>
      <c r="X72" s="17">
        <f t="shared" si="38"/>
        <v>1000</v>
      </c>
      <c r="Y72" s="12"/>
      <c r="Z72" s="19"/>
      <c r="AA72" s="17">
        <f t="shared" si="39"/>
        <v>800</v>
      </c>
      <c r="AB72" s="20">
        <f t="shared" si="28"/>
        <v>200</v>
      </c>
      <c r="AC72" s="20">
        <f t="shared" si="31"/>
        <v>1000</v>
      </c>
      <c r="AD72" s="20">
        <f t="shared" si="40"/>
        <v>0</v>
      </c>
      <c r="AE72" s="17">
        <f>VLOOKUP(B72,[2]Sheet1!$B$4:$J$188,9,0)</f>
        <v>800</v>
      </c>
      <c r="AF72" s="20">
        <f t="shared" si="41"/>
        <v>200</v>
      </c>
      <c r="AG72" s="21" t="str">
        <f>VLOOKUP(B72,'[3]MASTER -COLOR CODE'!$B$6:$C$337,2,0)</f>
        <v>SEIKH YEASIN RAHAMAN</v>
      </c>
      <c r="AH72" s="21"/>
    </row>
    <row r="73" spans="1:34" s="22" customFormat="1" x14ac:dyDescent="0.25">
      <c r="A73" s="12">
        <v>72</v>
      </c>
      <c r="B73" s="35" t="s">
        <v>169</v>
      </c>
      <c r="C73" s="23" t="s">
        <v>170</v>
      </c>
      <c r="D73" s="15" t="s">
        <v>171</v>
      </c>
      <c r="E73" s="15"/>
      <c r="F73" s="17">
        <v>700</v>
      </c>
      <c r="G73" s="12">
        <v>31</v>
      </c>
      <c r="H73" s="12">
        <v>0</v>
      </c>
      <c r="I73" s="18">
        <f t="shared" si="32"/>
        <v>31</v>
      </c>
      <c r="J73" s="17">
        <f t="shared" si="33"/>
        <v>700</v>
      </c>
      <c r="K73" s="34"/>
      <c r="L73" s="17">
        <f t="shared" si="34"/>
        <v>0</v>
      </c>
      <c r="M73" s="12"/>
      <c r="N73" s="17">
        <f t="shared" si="35"/>
        <v>0</v>
      </c>
      <c r="O73" s="12"/>
      <c r="P73" s="17">
        <f t="shared" si="36"/>
        <v>0</v>
      </c>
      <c r="Q73" s="12">
        <f t="shared" si="37"/>
        <v>31</v>
      </c>
      <c r="R73" s="12">
        <v>200</v>
      </c>
      <c r="S73" s="17">
        <f t="shared" si="29"/>
        <v>200</v>
      </c>
      <c r="T73" s="12">
        <v>0</v>
      </c>
      <c r="U73" s="12">
        <v>0</v>
      </c>
      <c r="V73" s="12">
        <v>0</v>
      </c>
      <c r="W73" s="12">
        <v>0</v>
      </c>
      <c r="X73" s="17">
        <f t="shared" si="38"/>
        <v>900</v>
      </c>
      <c r="Y73" s="12"/>
      <c r="Z73" s="19"/>
      <c r="AA73" s="17">
        <f t="shared" si="39"/>
        <v>700</v>
      </c>
      <c r="AB73" s="20">
        <v>402</v>
      </c>
      <c r="AC73" s="20">
        <f>AA73+AB73</f>
        <v>1102</v>
      </c>
      <c r="AD73" s="20">
        <f t="shared" si="40"/>
        <v>-202</v>
      </c>
      <c r="AE73" s="17" t="e">
        <f>VLOOKUP(B73,[2]Sheet1!$B$4:$J$188,9,0)</f>
        <v>#N/A</v>
      </c>
      <c r="AF73" s="20" t="e">
        <f t="shared" si="41"/>
        <v>#N/A</v>
      </c>
      <c r="AG73" s="21" t="str">
        <f>VLOOKUP(B73,'[3]MASTER -COLOR CODE'!$B$6:$C$337,2,0)</f>
        <v>ABUL KALAM JASIM UDDIN</v>
      </c>
      <c r="AH73" s="21"/>
    </row>
    <row r="74" spans="1:34" s="22" customFormat="1" x14ac:dyDescent="0.25">
      <c r="A74" s="12">
        <v>73</v>
      </c>
      <c r="B74" s="26" t="s">
        <v>172</v>
      </c>
      <c r="C74" s="67" t="s">
        <v>173</v>
      </c>
      <c r="D74" s="15"/>
      <c r="E74" s="16">
        <v>900</v>
      </c>
      <c r="F74" s="17">
        <v>700</v>
      </c>
      <c r="G74" s="12">
        <v>31</v>
      </c>
      <c r="H74" s="12">
        <v>0</v>
      </c>
      <c r="I74" s="18">
        <f t="shared" si="32"/>
        <v>31</v>
      </c>
      <c r="J74" s="17">
        <f t="shared" si="33"/>
        <v>700</v>
      </c>
      <c r="K74" s="34"/>
      <c r="L74" s="17">
        <f t="shared" si="34"/>
        <v>0</v>
      </c>
      <c r="M74" s="12"/>
      <c r="N74" s="17">
        <f t="shared" si="35"/>
        <v>0</v>
      </c>
      <c r="O74" s="12"/>
      <c r="P74" s="17">
        <f t="shared" si="36"/>
        <v>0</v>
      </c>
      <c r="Q74" s="12">
        <f t="shared" si="37"/>
        <v>31</v>
      </c>
      <c r="R74" s="12">
        <v>200</v>
      </c>
      <c r="S74" s="17">
        <f t="shared" si="29"/>
        <v>200</v>
      </c>
      <c r="T74" s="12">
        <v>0</v>
      </c>
      <c r="U74" s="12">
        <v>0</v>
      </c>
      <c r="V74" s="12">
        <v>0</v>
      </c>
      <c r="W74" s="12">
        <v>0</v>
      </c>
      <c r="X74" s="17">
        <f t="shared" si="38"/>
        <v>900</v>
      </c>
      <c r="Y74" s="12"/>
      <c r="Z74" s="12"/>
      <c r="AA74" s="17">
        <v>900</v>
      </c>
      <c r="AB74" s="20">
        <f t="shared" ref="AB74:AB105" si="42">X74-AA74</f>
        <v>0</v>
      </c>
      <c r="AC74" s="20">
        <f t="shared" ref="AC74:AC105" si="43">AE74+AB74</f>
        <v>900</v>
      </c>
      <c r="AD74" s="20">
        <f t="shared" si="40"/>
        <v>0</v>
      </c>
      <c r="AE74" s="17">
        <f>VLOOKUP(B74,[2]Sheet1!$B$4:$J$188,9,0)</f>
        <v>900</v>
      </c>
      <c r="AF74" s="20">
        <f t="shared" si="41"/>
        <v>0</v>
      </c>
      <c r="AG74" s="21" t="str">
        <f>VLOOKUP(B74,'[3]MASTER -COLOR CODE'!$B$6:$C$337,2,0)</f>
        <v>RABINDRA KUMAR MAHARA</v>
      </c>
      <c r="AH74" s="21"/>
    </row>
    <row r="75" spans="1:34" s="22" customFormat="1" x14ac:dyDescent="0.25">
      <c r="A75" s="12">
        <v>74</v>
      </c>
      <c r="B75" s="13" t="s">
        <v>174</v>
      </c>
      <c r="C75" s="67" t="s">
        <v>175</v>
      </c>
      <c r="D75" s="15"/>
      <c r="E75" s="16">
        <v>900</v>
      </c>
      <c r="F75" s="17">
        <v>700</v>
      </c>
      <c r="G75" s="12">
        <v>31</v>
      </c>
      <c r="H75" s="12">
        <v>0</v>
      </c>
      <c r="I75" s="18">
        <f t="shared" si="32"/>
        <v>31</v>
      </c>
      <c r="J75" s="17">
        <f t="shared" si="33"/>
        <v>700</v>
      </c>
      <c r="K75" s="34"/>
      <c r="L75" s="17">
        <f t="shared" si="34"/>
        <v>0</v>
      </c>
      <c r="M75" s="12"/>
      <c r="N75" s="17">
        <f t="shared" si="35"/>
        <v>0</v>
      </c>
      <c r="O75" s="12"/>
      <c r="P75" s="17">
        <f t="shared" si="36"/>
        <v>0</v>
      </c>
      <c r="Q75" s="12">
        <f t="shared" si="37"/>
        <v>31</v>
      </c>
      <c r="R75" s="12">
        <v>200</v>
      </c>
      <c r="S75" s="17">
        <f t="shared" si="29"/>
        <v>200</v>
      </c>
      <c r="T75" s="12">
        <v>0</v>
      </c>
      <c r="U75" s="12">
        <v>0</v>
      </c>
      <c r="V75" s="12">
        <v>0</v>
      </c>
      <c r="W75" s="12">
        <v>0</v>
      </c>
      <c r="X75" s="17">
        <f t="shared" si="38"/>
        <v>900</v>
      </c>
      <c r="Y75" s="12"/>
      <c r="Z75" s="19"/>
      <c r="AA75" s="17">
        <v>900</v>
      </c>
      <c r="AB75" s="20">
        <f t="shared" si="42"/>
        <v>0</v>
      </c>
      <c r="AC75" s="20">
        <f t="shared" si="43"/>
        <v>900</v>
      </c>
      <c r="AD75" s="20">
        <f t="shared" si="40"/>
        <v>0</v>
      </c>
      <c r="AE75" s="17">
        <f>VLOOKUP(B75,[2]Sheet1!$B$4:$J$188,9,0)</f>
        <v>900</v>
      </c>
      <c r="AF75" s="20">
        <f t="shared" si="41"/>
        <v>0</v>
      </c>
      <c r="AG75" s="21" t="str">
        <f>VLOOKUP(B75,'[3]MASTER -COLOR CODE'!$B$6:$C$337,2,0)</f>
        <v>SUNDAR RAM</v>
      </c>
      <c r="AH75" s="21"/>
    </row>
    <row r="76" spans="1:34" s="22" customFormat="1" x14ac:dyDescent="0.25">
      <c r="A76" s="12">
        <v>75</v>
      </c>
      <c r="B76" s="13" t="s">
        <v>176</v>
      </c>
      <c r="C76" s="67" t="s">
        <v>177</v>
      </c>
      <c r="D76" s="15"/>
      <c r="E76" s="16">
        <v>900</v>
      </c>
      <c r="F76" s="17">
        <v>700</v>
      </c>
      <c r="G76" s="12">
        <v>31</v>
      </c>
      <c r="H76" s="12">
        <v>0</v>
      </c>
      <c r="I76" s="18">
        <f t="shared" si="32"/>
        <v>31</v>
      </c>
      <c r="J76" s="17">
        <f t="shared" si="33"/>
        <v>700</v>
      </c>
      <c r="K76" s="34"/>
      <c r="L76" s="17">
        <f t="shared" si="34"/>
        <v>0</v>
      </c>
      <c r="M76" s="12"/>
      <c r="N76" s="17">
        <f t="shared" si="35"/>
        <v>0</v>
      </c>
      <c r="O76" s="12"/>
      <c r="P76" s="17">
        <f t="shared" si="36"/>
        <v>0</v>
      </c>
      <c r="Q76" s="12">
        <f t="shared" si="37"/>
        <v>31</v>
      </c>
      <c r="R76" s="12">
        <v>200</v>
      </c>
      <c r="S76" s="17">
        <f t="shared" si="29"/>
        <v>200</v>
      </c>
      <c r="T76" s="12">
        <v>0</v>
      </c>
      <c r="U76" s="12">
        <v>0</v>
      </c>
      <c r="V76" s="12">
        <v>0</v>
      </c>
      <c r="W76" s="12">
        <v>0</v>
      </c>
      <c r="X76" s="17">
        <f t="shared" si="38"/>
        <v>900</v>
      </c>
      <c r="Y76" s="12"/>
      <c r="Z76" s="19"/>
      <c r="AA76" s="17">
        <v>900</v>
      </c>
      <c r="AB76" s="20">
        <f t="shared" si="42"/>
        <v>0</v>
      </c>
      <c r="AC76" s="20">
        <f t="shared" si="43"/>
        <v>900</v>
      </c>
      <c r="AD76" s="20">
        <f t="shared" si="40"/>
        <v>0</v>
      </c>
      <c r="AE76" s="17">
        <f>VLOOKUP(B76,[2]Sheet1!$B$4:$J$188,9,0)</f>
        <v>900</v>
      </c>
      <c r="AF76" s="20">
        <f t="shared" si="41"/>
        <v>0</v>
      </c>
      <c r="AG76" s="21" t="str">
        <f>VLOOKUP(B76,'[3]MASTER -COLOR CODE'!$B$6:$C$337,2,0)</f>
        <v xml:space="preserve">BISHAMBAR YADAV </v>
      </c>
      <c r="AH76" s="21"/>
    </row>
    <row r="77" spans="1:34" s="22" customFormat="1" x14ac:dyDescent="0.25">
      <c r="A77" s="12">
        <v>76</v>
      </c>
      <c r="B77" s="13" t="s">
        <v>178</v>
      </c>
      <c r="C77" s="67" t="s">
        <v>179</v>
      </c>
      <c r="D77" s="15"/>
      <c r="E77" s="16">
        <v>900</v>
      </c>
      <c r="F77" s="17">
        <v>700</v>
      </c>
      <c r="G77" s="12">
        <v>31</v>
      </c>
      <c r="H77" s="12">
        <v>0</v>
      </c>
      <c r="I77" s="18">
        <f t="shared" si="32"/>
        <v>31</v>
      </c>
      <c r="J77" s="17">
        <f t="shared" si="33"/>
        <v>700</v>
      </c>
      <c r="K77" s="34"/>
      <c r="L77" s="17">
        <f t="shared" si="34"/>
        <v>0</v>
      </c>
      <c r="M77" s="12"/>
      <c r="N77" s="17">
        <f t="shared" si="35"/>
        <v>0</v>
      </c>
      <c r="O77" s="12"/>
      <c r="P77" s="17">
        <f t="shared" si="36"/>
        <v>0</v>
      </c>
      <c r="Q77" s="12">
        <f t="shared" si="37"/>
        <v>31</v>
      </c>
      <c r="R77" s="12">
        <v>200</v>
      </c>
      <c r="S77" s="17">
        <f t="shared" si="29"/>
        <v>200</v>
      </c>
      <c r="T77" s="12">
        <v>0</v>
      </c>
      <c r="U77" s="12">
        <v>0</v>
      </c>
      <c r="V77" s="12">
        <v>0</v>
      </c>
      <c r="W77" s="12">
        <v>0</v>
      </c>
      <c r="X77" s="17">
        <f t="shared" si="38"/>
        <v>900</v>
      </c>
      <c r="Y77" s="12"/>
      <c r="Z77" s="19"/>
      <c r="AA77" s="17">
        <v>900</v>
      </c>
      <c r="AB77" s="20">
        <f t="shared" si="42"/>
        <v>0</v>
      </c>
      <c r="AC77" s="20">
        <f t="shared" si="43"/>
        <v>900</v>
      </c>
      <c r="AD77" s="20">
        <f t="shared" si="40"/>
        <v>0</v>
      </c>
      <c r="AE77" s="17">
        <f>VLOOKUP(B77,[2]Sheet1!$B$4:$J$188,9,0)</f>
        <v>900</v>
      </c>
      <c r="AF77" s="20">
        <f t="shared" si="41"/>
        <v>0</v>
      </c>
      <c r="AG77" s="21" t="str">
        <f>VLOOKUP(B77,'[3]MASTER -COLOR CODE'!$B$6:$C$337,2,0)</f>
        <v>BILTU SADA</v>
      </c>
      <c r="AH77" s="21"/>
    </row>
    <row r="78" spans="1:34" s="22" customFormat="1" x14ac:dyDescent="0.25">
      <c r="A78" s="12">
        <v>77</v>
      </c>
      <c r="B78" s="13" t="s">
        <v>180</v>
      </c>
      <c r="C78" s="67" t="s">
        <v>181</v>
      </c>
      <c r="D78" s="15"/>
      <c r="E78" s="16">
        <v>900</v>
      </c>
      <c r="F78" s="17">
        <v>700</v>
      </c>
      <c r="G78" s="12">
        <v>31</v>
      </c>
      <c r="H78" s="12">
        <v>0</v>
      </c>
      <c r="I78" s="18">
        <f t="shared" si="32"/>
        <v>31</v>
      </c>
      <c r="J78" s="17">
        <f t="shared" si="33"/>
        <v>700</v>
      </c>
      <c r="K78" s="34"/>
      <c r="L78" s="17">
        <f t="shared" si="34"/>
        <v>0</v>
      </c>
      <c r="M78" s="12"/>
      <c r="N78" s="17">
        <f t="shared" si="35"/>
        <v>0</v>
      </c>
      <c r="O78" s="12"/>
      <c r="P78" s="17">
        <f t="shared" si="36"/>
        <v>0</v>
      </c>
      <c r="Q78" s="12">
        <f t="shared" si="37"/>
        <v>31</v>
      </c>
      <c r="R78" s="12">
        <v>200</v>
      </c>
      <c r="S78" s="17">
        <f t="shared" si="29"/>
        <v>200</v>
      </c>
      <c r="T78" s="12">
        <v>0</v>
      </c>
      <c r="U78" s="12">
        <v>0</v>
      </c>
      <c r="V78" s="12">
        <v>0</v>
      </c>
      <c r="W78" s="12">
        <v>0</v>
      </c>
      <c r="X78" s="17">
        <f t="shared" si="38"/>
        <v>900</v>
      </c>
      <c r="Y78" s="12"/>
      <c r="Z78" s="19"/>
      <c r="AA78" s="17">
        <v>900</v>
      </c>
      <c r="AB78" s="20">
        <f t="shared" si="42"/>
        <v>0</v>
      </c>
      <c r="AC78" s="20">
        <f t="shared" si="43"/>
        <v>900</v>
      </c>
      <c r="AD78" s="20">
        <f t="shared" si="40"/>
        <v>0</v>
      </c>
      <c r="AE78" s="17">
        <f>VLOOKUP(B78,[2]Sheet1!$B$4:$J$188,9,0)</f>
        <v>900</v>
      </c>
      <c r="AF78" s="20">
        <f t="shared" si="41"/>
        <v>0</v>
      </c>
      <c r="AG78" s="21" t="str">
        <f>VLOOKUP(B78,'[3]MASTER -COLOR CODE'!$B$6:$C$337,2,0)</f>
        <v>SURESH DAS KATHABANIYA</v>
      </c>
      <c r="AH78" s="21"/>
    </row>
    <row r="79" spans="1:34" s="22" customFormat="1" x14ac:dyDescent="0.25">
      <c r="A79" s="12">
        <v>78</v>
      </c>
      <c r="B79" s="13" t="s">
        <v>182</v>
      </c>
      <c r="C79" s="67" t="s">
        <v>183</v>
      </c>
      <c r="D79" s="15"/>
      <c r="E79" s="16">
        <v>900</v>
      </c>
      <c r="F79" s="17">
        <v>700</v>
      </c>
      <c r="G79" s="12">
        <v>31</v>
      </c>
      <c r="H79" s="12">
        <v>0</v>
      </c>
      <c r="I79" s="18">
        <f t="shared" si="32"/>
        <v>31</v>
      </c>
      <c r="J79" s="17">
        <f t="shared" si="33"/>
        <v>700</v>
      </c>
      <c r="K79" s="34"/>
      <c r="L79" s="17">
        <f t="shared" si="34"/>
        <v>0</v>
      </c>
      <c r="M79" s="12"/>
      <c r="N79" s="17">
        <f t="shared" si="35"/>
        <v>0</v>
      </c>
      <c r="O79" s="12"/>
      <c r="P79" s="17">
        <f t="shared" si="36"/>
        <v>0</v>
      </c>
      <c r="Q79" s="12">
        <f t="shared" si="37"/>
        <v>31</v>
      </c>
      <c r="R79" s="12">
        <v>200</v>
      </c>
      <c r="S79" s="17">
        <f t="shared" si="29"/>
        <v>200</v>
      </c>
      <c r="T79" s="12">
        <v>0</v>
      </c>
      <c r="U79" s="12">
        <v>0</v>
      </c>
      <c r="V79" s="12">
        <v>0</v>
      </c>
      <c r="W79" s="12">
        <v>0</v>
      </c>
      <c r="X79" s="17">
        <f t="shared" si="38"/>
        <v>900</v>
      </c>
      <c r="Y79" s="12"/>
      <c r="Z79" s="19"/>
      <c r="AA79" s="17">
        <v>900</v>
      </c>
      <c r="AB79" s="20">
        <f t="shared" si="42"/>
        <v>0</v>
      </c>
      <c r="AC79" s="20">
        <f t="shared" si="43"/>
        <v>900</v>
      </c>
      <c r="AD79" s="20">
        <f t="shared" si="40"/>
        <v>0</v>
      </c>
      <c r="AE79" s="17">
        <f>VLOOKUP(B79,[2]Sheet1!$B$4:$J$188,9,0)</f>
        <v>900</v>
      </c>
      <c r="AF79" s="20">
        <f t="shared" si="41"/>
        <v>0</v>
      </c>
      <c r="AG79" s="21" t="str">
        <f>VLOOKUP(B79,'[3]MASTER -COLOR CODE'!$B$6:$C$337,2,0)</f>
        <v>SHIV KUMAR  MOCHI</v>
      </c>
      <c r="AH79" s="21"/>
    </row>
    <row r="80" spans="1:34" s="22" customFormat="1" x14ac:dyDescent="0.25">
      <c r="A80" s="12">
        <v>79</v>
      </c>
      <c r="B80" s="13" t="s">
        <v>184</v>
      </c>
      <c r="C80" s="67" t="s">
        <v>185</v>
      </c>
      <c r="D80" s="15"/>
      <c r="E80" s="16">
        <v>900</v>
      </c>
      <c r="F80" s="17">
        <v>700</v>
      </c>
      <c r="G80" s="12">
        <v>31</v>
      </c>
      <c r="H80" s="12">
        <v>0</v>
      </c>
      <c r="I80" s="18">
        <f t="shared" si="32"/>
        <v>31</v>
      </c>
      <c r="J80" s="17">
        <f t="shared" si="33"/>
        <v>700</v>
      </c>
      <c r="K80" s="34"/>
      <c r="L80" s="17">
        <f t="shared" si="34"/>
        <v>0</v>
      </c>
      <c r="M80" s="12"/>
      <c r="N80" s="17">
        <f t="shared" si="35"/>
        <v>0</v>
      </c>
      <c r="O80" s="12"/>
      <c r="P80" s="17">
        <f t="shared" si="36"/>
        <v>0</v>
      </c>
      <c r="Q80" s="12">
        <f t="shared" si="37"/>
        <v>31</v>
      </c>
      <c r="R80" s="12">
        <v>200</v>
      </c>
      <c r="S80" s="17">
        <f t="shared" si="29"/>
        <v>200</v>
      </c>
      <c r="T80" s="12">
        <v>0</v>
      </c>
      <c r="U80" s="12">
        <v>0</v>
      </c>
      <c r="V80" s="12">
        <v>0</v>
      </c>
      <c r="W80" s="12">
        <v>0</v>
      </c>
      <c r="X80" s="17">
        <f t="shared" si="38"/>
        <v>900</v>
      </c>
      <c r="Y80" s="12"/>
      <c r="Z80" s="19"/>
      <c r="AA80" s="17">
        <v>900</v>
      </c>
      <c r="AB80" s="20">
        <f t="shared" si="42"/>
        <v>0</v>
      </c>
      <c r="AC80" s="20">
        <f t="shared" si="43"/>
        <v>900</v>
      </c>
      <c r="AD80" s="20">
        <f t="shared" si="40"/>
        <v>0</v>
      </c>
      <c r="AE80" s="17">
        <f>VLOOKUP(B80,[2]Sheet1!$B$4:$J$188,9,0)</f>
        <v>900</v>
      </c>
      <c r="AF80" s="20">
        <f t="shared" si="41"/>
        <v>0</v>
      </c>
      <c r="AG80" s="21" t="str">
        <f>VLOOKUP(B80,'[3]MASTER -COLOR CODE'!$B$6:$C$337,2,0)</f>
        <v>SHIV KUMAR RAY</v>
      </c>
      <c r="AH80" s="21"/>
    </row>
    <row r="81" spans="1:34" s="22" customFormat="1" x14ac:dyDescent="0.25">
      <c r="A81" s="12">
        <v>80</v>
      </c>
      <c r="B81" s="13" t="s">
        <v>186</v>
      </c>
      <c r="C81" s="67" t="s">
        <v>187</v>
      </c>
      <c r="D81" s="15"/>
      <c r="E81" s="16">
        <v>900</v>
      </c>
      <c r="F81" s="17">
        <v>700</v>
      </c>
      <c r="G81" s="12">
        <v>31</v>
      </c>
      <c r="H81" s="12">
        <v>0</v>
      </c>
      <c r="I81" s="18">
        <f t="shared" si="32"/>
        <v>31</v>
      </c>
      <c r="J81" s="17">
        <f t="shared" si="33"/>
        <v>700</v>
      </c>
      <c r="K81" s="34"/>
      <c r="L81" s="17">
        <f t="shared" si="34"/>
        <v>0</v>
      </c>
      <c r="M81" s="12"/>
      <c r="N81" s="17">
        <f t="shared" si="35"/>
        <v>0</v>
      </c>
      <c r="O81" s="12"/>
      <c r="P81" s="17">
        <f t="shared" si="36"/>
        <v>0</v>
      </c>
      <c r="Q81" s="12">
        <f t="shared" si="37"/>
        <v>31</v>
      </c>
      <c r="R81" s="12">
        <v>200</v>
      </c>
      <c r="S81" s="17">
        <f t="shared" si="29"/>
        <v>200</v>
      </c>
      <c r="T81" s="12">
        <v>0</v>
      </c>
      <c r="U81" s="12">
        <v>0</v>
      </c>
      <c r="V81" s="12">
        <v>0</v>
      </c>
      <c r="W81" s="12">
        <v>0</v>
      </c>
      <c r="X81" s="17">
        <f t="shared" si="38"/>
        <v>900</v>
      </c>
      <c r="Y81" s="12"/>
      <c r="Z81" s="19"/>
      <c r="AA81" s="17">
        <v>900</v>
      </c>
      <c r="AB81" s="20">
        <f t="shared" si="42"/>
        <v>0</v>
      </c>
      <c r="AC81" s="20">
        <f t="shared" si="43"/>
        <v>900</v>
      </c>
      <c r="AD81" s="20">
        <f t="shared" si="40"/>
        <v>0</v>
      </c>
      <c r="AE81" s="17">
        <f>VLOOKUP(B81,[2]Sheet1!$B$4:$J$188,9,0)</f>
        <v>900</v>
      </c>
      <c r="AF81" s="20">
        <f t="shared" si="41"/>
        <v>0</v>
      </c>
      <c r="AG81" s="21" t="str">
        <f>VLOOKUP(B81,'[3]MASTER -COLOR CODE'!$B$6:$C$337,2,0)</f>
        <v>SHREE RAM MANDAL</v>
      </c>
      <c r="AH81" s="21"/>
    </row>
    <row r="82" spans="1:34" s="63" customFormat="1" x14ac:dyDescent="0.25">
      <c r="A82" s="53">
        <v>81</v>
      </c>
      <c r="B82" s="54" t="s">
        <v>188</v>
      </c>
      <c r="C82" s="55" t="s">
        <v>189</v>
      </c>
      <c r="D82" s="56">
        <v>20002028952005</v>
      </c>
      <c r="E82" s="57"/>
      <c r="F82" s="58">
        <v>700</v>
      </c>
      <c r="G82" s="53">
        <v>31</v>
      </c>
      <c r="H82" s="53">
        <v>0</v>
      </c>
      <c r="I82" s="59">
        <f t="shared" si="32"/>
        <v>31</v>
      </c>
      <c r="J82" s="58">
        <f t="shared" si="33"/>
        <v>700</v>
      </c>
      <c r="K82" s="53"/>
      <c r="L82" s="58">
        <f t="shared" si="34"/>
        <v>0</v>
      </c>
      <c r="M82" s="53"/>
      <c r="N82" s="58">
        <f t="shared" si="35"/>
        <v>0</v>
      </c>
      <c r="O82" s="53"/>
      <c r="P82" s="58">
        <f t="shared" si="36"/>
        <v>0</v>
      </c>
      <c r="Q82" s="53">
        <f t="shared" si="37"/>
        <v>31</v>
      </c>
      <c r="R82" s="53">
        <v>200</v>
      </c>
      <c r="S82" s="58">
        <f t="shared" si="29"/>
        <v>200</v>
      </c>
      <c r="T82" s="53">
        <v>0</v>
      </c>
      <c r="U82" s="53">
        <v>0</v>
      </c>
      <c r="V82" s="53">
        <v>0</v>
      </c>
      <c r="W82" s="53">
        <v>0</v>
      </c>
      <c r="X82" s="58">
        <f t="shared" si="38"/>
        <v>900</v>
      </c>
      <c r="Y82" s="53"/>
      <c r="Z82" s="60"/>
      <c r="AA82" s="58">
        <v>0</v>
      </c>
      <c r="AB82" s="61">
        <f t="shared" si="42"/>
        <v>900</v>
      </c>
      <c r="AC82" s="61">
        <f t="shared" si="43"/>
        <v>1273</v>
      </c>
      <c r="AD82" s="61">
        <f t="shared" si="40"/>
        <v>-373</v>
      </c>
      <c r="AE82" s="58">
        <f>VLOOKUP(B82,[2]Sheet1!$B$4:$J$188,9,0)</f>
        <v>373</v>
      </c>
      <c r="AF82" s="61">
        <f t="shared" si="41"/>
        <v>527</v>
      </c>
      <c r="AG82" s="62" t="str">
        <f>VLOOKUP(B82,'[3]MASTER -COLOR CODE'!$B$6:$C$337,2,0)</f>
        <v>HABIB UR REHMAN</v>
      </c>
      <c r="AH82" s="62"/>
    </row>
    <row r="83" spans="1:34" s="22" customFormat="1" x14ac:dyDescent="0.25">
      <c r="A83" s="12">
        <v>82</v>
      </c>
      <c r="B83" s="13" t="s">
        <v>190</v>
      </c>
      <c r="C83" s="67" t="s">
        <v>191</v>
      </c>
      <c r="D83" s="15"/>
      <c r="E83" s="16">
        <v>900</v>
      </c>
      <c r="F83" s="17">
        <v>700</v>
      </c>
      <c r="G83" s="12">
        <v>31</v>
      </c>
      <c r="H83" s="12">
        <v>1</v>
      </c>
      <c r="I83" s="18">
        <f t="shared" si="32"/>
        <v>30</v>
      </c>
      <c r="J83" s="17">
        <f t="shared" si="33"/>
        <v>677.41935483870975</v>
      </c>
      <c r="K83" s="34"/>
      <c r="L83" s="17">
        <f t="shared" si="34"/>
        <v>0</v>
      </c>
      <c r="M83" s="12"/>
      <c r="N83" s="17">
        <f t="shared" si="35"/>
        <v>0</v>
      </c>
      <c r="O83" s="12"/>
      <c r="P83" s="17">
        <f t="shared" si="36"/>
        <v>0</v>
      </c>
      <c r="Q83" s="12">
        <f t="shared" si="37"/>
        <v>30</v>
      </c>
      <c r="R83" s="12">
        <v>200</v>
      </c>
      <c r="S83" s="17">
        <f t="shared" si="29"/>
        <v>193.54838709677418</v>
      </c>
      <c r="T83" s="12">
        <v>0</v>
      </c>
      <c r="U83" s="12">
        <v>0</v>
      </c>
      <c r="V83" s="12">
        <v>0</v>
      </c>
      <c r="W83" s="12">
        <v>0</v>
      </c>
      <c r="X83" s="17">
        <f t="shared" si="38"/>
        <v>870.9677419354839</v>
      </c>
      <c r="Y83" s="12"/>
      <c r="Z83" s="19"/>
      <c r="AA83" s="17">
        <v>871</v>
      </c>
      <c r="AB83" s="20">
        <f t="shared" si="42"/>
        <v>-3.2258064516099694E-2</v>
      </c>
      <c r="AC83" s="20">
        <f t="shared" si="43"/>
        <v>839.9677419354839</v>
      </c>
      <c r="AD83" s="20">
        <f t="shared" si="40"/>
        <v>31</v>
      </c>
      <c r="AE83" s="17">
        <f>VLOOKUP(B83,[2]Sheet1!$B$4:$J$188,9,0)</f>
        <v>840</v>
      </c>
      <c r="AF83" s="20">
        <f t="shared" si="41"/>
        <v>30.9677419354839</v>
      </c>
      <c r="AG83" s="21" t="str">
        <f>VLOOKUP(B83,'[3]MASTER -COLOR CODE'!$B$6:$C$337,2,0)</f>
        <v>NANU SADA</v>
      </c>
      <c r="AH83" s="21"/>
    </row>
    <row r="84" spans="1:34" s="22" customFormat="1" x14ac:dyDescent="0.25">
      <c r="A84" s="12">
        <v>83</v>
      </c>
      <c r="B84" s="13" t="s">
        <v>192</v>
      </c>
      <c r="C84" s="67" t="s">
        <v>193</v>
      </c>
      <c r="D84" s="15"/>
      <c r="E84" s="16">
        <v>900</v>
      </c>
      <c r="F84" s="17">
        <v>700</v>
      </c>
      <c r="G84" s="12">
        <v>31</v>
      </c>
      <c r="H84" s="12">
        <v>0</v>
      </c>
      <c r="I84" s="18">
        <f t="shared" si="32"/>
        <v>31</v>
      </c>
      <c r="J84" s="17">
        <f t="shared" si="33"/>
        <v>700</v>
      </c>
      <c r="K84" s="34"/>
      <c r="L84" s="17">
        <f t="shared" si="34"/>
        <v>0</v>
      </c>
      <c r="M84" s="12"/>
      <c r="N84" s="17">
        <f t="shared" si="35"/>
        <v>0</v>
      </c>
      <c r="O84" s="12"/>
      <c r="P84" s="17">
        <f t="shared" si="36"/>
        <v>0</v>
      </c>
      <c r="Q84" s="12">
        <f t="shared" si="37"/>
        <v>31</v>
      </c>
      <c r="R84" s="12">
        <v>200</v>
      </c>
      <c r="S84" s="17">
        <f t="shared" ref="S84:S115" si="44">R84/G84*Q84</f>
        <v>200</v>
      </c>
      <c r="T84" s="12">
        <v>0</v>
      </c>
      <c r="U84" s="12">
        <v>0</v>
      </c>
      <c r="V84" s="12">
        <v>0</v>
      </c>
      <c r="W84" s="12">
        <v>0</v>
      </c>
      <c r="X84" s="17">
        <f t="shared" si="38"/>
        <v>900</v>
      </c>
      <c r="Y84" s="12"/>
      <c r="Z84" s="19"/>
      <c r="AA84" s="17">
        <v>900</v>
      </c>
      <c r="AB84" s="20">
        <f t="shared" si="42"/>
        <v>0</v>
      </c>
      <c r="AC84" s="20">
        <f t="shared" si="43"/>
        <v>900</v>
      </c>
      <c r="AD84" s="20">
        <f t="shared" si="40"/>
        <v>0</v>
      </c>
      <c r="AE84" s="17">
        <f>VLOOKUP(B84,[2]Sheet1!$B$4:$J$188,9,0)</f>
        <v>900</v>
      </c>
      <c r="AF84" s="20">
        <f t="shared" si="41"/>
        <v>0</v>
      </c>
      <c r="AG84" s="21" t="str">
        <f>VLOOKUP(B84,'[3]MASTER -COLOR CODE'!$B$6:$C$337,2,0)</f>
        <v xml:space="preserve">PRAMOD KUMAR MANDAL </v>
      </c>
      <c r="AH84" s="21"/>
    </row>
    <row r="85" spans="1:34" s="22" customFormat="1" x14ac:dyDescent="0.25">
      <c r="A85" s="12">
        <v>84</v>
      </c>
      <c r="B85" s="13" t="s">
        <v>194</v>
      </c>
      <c r="C85" s="67" t="s">
        <v>195</v>
      </c>
      <c r="D85" s="15"/>
      <c r="E85" s="16">
        <v>900</v>
      </c>
      <c r="F85" s="17">
        <v>700</v>
      </c>
      <c r="G85" s="12">
        <v>31</v>
      </c>
      <c r="H85" s="12">
        <v>0</v>
      </c>
      <c r="I85" s="18">
        <f t="shared" si="32"/>
        <v>31</v>
      </c>
      <c r="J85" s="17">
        <f t="shared" si="33"/>
        <v>700</v>
      </c>
      <c r="K85" s="34"/>
      <c r="L85" s="17">
        <f t="shared" si="34"/>
        <v>0</v>
      </c>
      <c r="M85" s="12"/>
      <c r="N85" s="17">
        <f t="shared" si="35"/>
        <v>0</v>
      </c>
      <c r="O85" s="12"/>
      <c r="P85" s="17">
        <f t="shared" si="36"/>
        <v>0</v>
      </c>
      <c r="Q85" s="12">
        <f t="shared" si="37"/>
        <v>31</v>
      </c>
      <c r="R85" s="12">
        <v>200</v>
      </c>
      <c r="S85" s="17">
        <f t="shared" si="44"/>
        <v>200</v>
      </c>
      <c r="T85" s="12">
        <v>0</v>
      </c>
      <c r="U85" s="12">
        <v>0</v>
      </c>
      <c r="V85" s="12">
        <v>0</v>
      </c>
      <c r="W85" s="12">
        <v>0</v>
      </c>
      <c r="X85" s="17">
        <f t="shared" si="38"/>
        <v>900</v>
      </c>
      <c r="Y85" s="12"/>
      <c r="Z85" s="19"/>
      <c r="AA85" s="17">
        <v>900</v>
      </c>
      <c r="AB85" s="20">
        <f t="shared" si="42"/>
        <v>0</v>
      </c>
      <c r="AC85" s="20">
        <f t="shared" si="43"/>
        <v>870</v>
      </c>
      <c r="AD85" s="20">
        <f t="shared" si="40"/>
        <v>30</v>
      </c>
      <c r="AE85" s="17">
        <f>VLOOKUP(B85,[2]Sheet1!$B$4:$J$188,9,0)</f>
        <v>870</v>
      </c>
      <c r="AF85" s="20">
        <f t="shared" si="41"/>
        <v>30</v>
      </c>
      <c r="AG85" s="21" t="str">
        <f>VLOOKUP(B85,'[3]MASTER -COLOR CODE'!$B$6:$C$337,2,0)</f>
        <v>RAM JIBAN YADAV</v>
      </c>
      <c r="AH85" s="21"/>
    </row>
    <row r="86" spans="1:34" s="22" customFormat="1" x14ac:dyDescent="0.25">
      <c r="A86" s="12">
        <v>85</v>
      </c>
      <c r="B86" s="13" t="s">
        <v>196</v>
      </c>
      <c r="C86" s="67" t="s">
        <v>197</v>
      </c>
      <c r="D86" s="15"/>
      <c r="E86" s="16">
        <v>900</v>
      </c>
      <c r="F86" s="17">
        <v>700</v>
      </c>
      <c r="G86" s="12">
        <v>31</v>
      </c>
      <c r="H86" s="12">
        <v>0</v>
      </c>
      <c r="I86" s="18">
        <f t="shared" si="32"/>
        <v>31</v>
      </c>
      <c r="J86" s="17">
        <f t="shared" si="33"/>
        <v>700</v>
      </c>
      <c r="K86" s="34"/>
      <c r="L86" s="17">
        <f t="shared" si="34"/>
        <v>0</v>
      </c>
      <c r="M86" s="12"/>
      <c r="N86" s="17">
        <f t="shared" si="35"/>
        <v>0</v>
      </c>
      <c r="O86" s="12"/>
      <c r="P86" s="17">
        <f t="shared" si="36"/>
        <v>0</v>
      </c>
      <c r="Q86" s="12">
        <f t="shared" si="37"/>
        <v>31</v>
      </c>
      <c r="R86" s="12">
        <v>200</v>
      </c>
      <c r="S86" s="17">
        <f t="shared" si="44"/>
        <v>200</v>
      </c>
      <c r="T86" s="12">
        <v>0</v>
      </c>
      <c r="U86" s="12">
        <v>0</v>
      </c>
      <c r="V86" s="12">
        <v>0</v>
      </c>
      <c r="W86" s="12">
        <v>0</v>
      </c>
      <c r="X86" s="17">
        <f t="shared" si="38"/>
        <v>900</v>
      </c>
      <c r="Y86" s="12"/>
      <c r="Z86" s="19"/>
      <c r="AA86" s="17">
        <v>900</v>
      </c>
      <c r="AB86" s="20">
        <f t="shared" si="42"/>
        <v>0</v>
      </c>
      <c r="AC86" s="20">
        <f t="shared" si="43"/>
        <v>900</v>
      </c>
      <c r="AD86" s="20">
        <f t="shared" si="40"/>
        <v>0</v>
      </c>
      <c r="AE86" s="17">
        <f>VLOOKUP(B86,[2]Sheet1!$B$4:$J$188,9,0)</f>
        <v>900</v>
      </c>
      <c r="AF86" s="20">
        <f t="shared" si="41"/>
        <v>0</v>
      </c>
      <c r="AG86" s="21" t="str">
        <f>VLOOKUP(B86,'[3]MASTER -COLOR CODE'!$B$6:$C$337,2,0)</f>
        <v>DINESH KUMAR YADAV</v>
      </c>
      <c r="AH86" s="21"/>
    </row>
    <row r="87" spans="1:34" s="22" customFormat="1" x14ac:dyDescent="0.25">
      <c r="A87" s="12">
        <v>86</v>
      </c>
      <c r="B87" s="13" t="s">
        <v>198</v>
      </c>
      <c r="C87" s="67" t="s">
        <v>199</v>
      </c>
      <c r="D87" s="15"/>
      <c r="E87" s="16">
        <v>900</v>
      </c>
      <c r="F87" s="17">
        <v>700</v>
      </c>
      <c r="G87" s="12">
        <v>31</v>
      </c>
      <c r="H87" s="12">
        <v>2</v>
      </c>
      <c r="I87" s="18">
        <f t="shared" si="32"/>
        <v>29</v>
      </c>
      <c r="J87" s="17">
        <f t="shared" si="33"/>
        <v>654.83870967741939</v>
      </c>
      <c r="K87" s="34"/>
      <c r="L87" s="17">
        <f t="shared" si="34"/>
        <v>0</v>
      </c>
      <c r="M87" s="12"/>
      <c r="N87" s="17">
        <f t="shared" si="35"/>
        <v>0</v>
      </c>
      <c r="O87" s="12"/>
      <c r="P87" s="17">
        <f t="shared" si="36"/>
        <v>0</v>
      </c>
      <c r="Q87" s="12">
        <f t="shared" si="37"/>
        <v>29</v>
      </c>
      <c r="R87" s="12">
        <v>200</v>
      </c>
      <c r="S87" s="17">
        <f t="shared" si="44"/>
        <v>187.09677419354838</v>
      </c>
      <c r="T87" s="12">
        <v>0</v>
      </c>
      <c r="U87" s="12">
        <v>0</v>
      </c>
      <c r="V87" s="12">
        <v>0</v>
      </c>
      <c r="W87" s="12">
        <v>0</v>
      </c>
      <c r="X87" s="17">
        <f t="shared" si="38"/>
        <v>841.9354838709678</v>
      </c>
      <c r="Y87" s="12"/>
      <c r="Z87" s="19"/>
      <c r="AA87" s="17">
        <v>842</v>
      </c>
      <c r="AB87" s="20">
        <f t="shared" si="42"/>
        <v>-6.4516129032199387E-2</v>
      </c>
      <c r="AC87" s="20">
        <f t="shared" si="43"/>
        <v>899.9354838709678</v>
      </c>
      <c r="AD87" s="20">
        <f t="shared" si="40"/>
        <v>-58</v>
      </c>
      <c r="AE87" s="17">
        <f>VLOOKUP(B87,[2]Sheet1!$B$4:$J$188,9,0)</f>
        <v>900</v>
      </c>
      <c r="AF87" s="20">
        <f t="shared" si="41"/>
        <v>-58.064516129032199</v>
      </c>
      <c r="AG87" s="21" t="str">
        <f>VLOOKUP(B87,'[3]MASTER -COLOR CODE'!$B$6:$C$337,2,0)</f>
        <v>RAM KISHOR KAPAR</v>
      </c>
      <c r="AH87" s="21"/>
    </row>
    <row r="88" spans="1:34" s="22" customFormat="1" x14ac:dyDescent="0.25">
      <c r="A88" s="12">
        <v>87</v>
      </c>
      <c r="B88" s="13" t="s">
        <v>200</v>
      </c>
      <c r="C88" s="67" t="s">
        <v>201</v>
      </c>
      <c r="D88" s="15"/>
      <c r="E88" s="16">
        <v>900</v>
      </c>
      <c r="F88" s="17">
        <v>700</v>
      </c>
      <c r="G88" s="12">
        <v>31</v>
      </c>
      <c r="H88" s="12">
        <v>0</v>
      </c>
      <c r="I88" s="18">
        <f t="shared" si="32"/>
        <v>31</v>
      </c>
      <c r="J88" s="17">
        <f t="shared" si="33"/>
        <v>700</v>
      </c>
      <c r="K88" s="34"/>
      <c r="L88" s="17">
        <f t="shared" si="34"/>
        <v>0</v>
      </c>
      <c r="M88" s="12"/>
      <c r="N88" s="17">
        <f t="shared" si="35"/>
        <v>0</v>
      </c>
      <c r="O88" s="12"/>
      <c r="P88" s="17">
        <f t="shared" si="36"/>
        <v>0</v>
      </c>
      <c r="Q88" s="12">
        <f t="shared" si="37"/>
        <v>31</v>
      </c>
      <c r="R88" s="12">
        <v>200</v>
      </c>
      <c r="S88" s="17">
        <f t="shared" si="44"/>
        <v>200</v>
      </c>
      <c r="T88" s="12">
        <v>0</v>
      </c>
      <c r="U88" s="12">
        <v>0</v>
      </c>
      <c r="V88" s="12">
        <v>0</v>
      </c>
      <c r="W88" s="12">
        <v>0</v>
      </c>
      <c r="X88" s="17">
        <f t="shared" si="38"/>
        <v>900</v>
      </c>
      <c r="Y88" s="12"/>
      <c r="Z88" s="19"/>
      <c r="AA88" s="17">
        <v>900</v>
      </c>
      <c r="AB88" s="20">
        <f t="shared" si="42"/>
        <v>0</v>
      </c>
      <c r="AC88" s="20">
        <f t="shared" si="43"/>
        <v>900</v>
      </c>
      <c r="AD88" s="20">
        <f t="shared" si="40"/>
        <v>0</v>
      </c>
      <c r="AE88" s="17">
        <f>VLOOKUP(B88,[2]Sheet1!$B$4:$J$188,9,0)</f>
        <v>900</v>
      </c>
      <c r="AF88" s="20">
        <f t="shared" si="41"/>
        <v>0</v>
      </c>
      <c r="AG88" s="21" t="str">
        <f>VLOOKUP(B88,'[3]MASTER -COLOR CODE'!$B$6:$C$337,2,0)</f>
        <v xml:space="preserve">SHIV CHANDRA YADAV </v>
      </c>
      <c r="AH88" s="21"/>
    </row>
    <row r="89" spans="1:34" s="22" customFormat="1" x14ac:dyDescent="0.25">
      <c r="A89" s="12">
        <v>88</v>
      </c>
      <c r="B89" s="13" t="s">
        <v>202</v>
      </c>
      <c r="C89" s="67" t="s">
        <v>203</v>
      </c>
      <c r="D89" s="15"/>
      <c r="E89" s="16">
        <v>900</v>
      </c>
      <c r="F89" s="17">
        <v>700</v>
      </c>
      <c r="G89" s="12">
        <v>31</v>
      </c>
      <c r="H89" s="12">
        <v>0</v>
      </c>
      <c r="I89" s="18">
        <f t="shared" si="32"/>
        <v>31</v>
      </c>
      <c r="J89" s="17">
        <f t="shared" si="33"/>
        <v>700</v>
      </c>
      <c r="K89" s="34"/>
      <c r="L89" s="17">
        <f t="shared" si="34"/>
        <v>0</v>
      </c>
      <c r="M89" s="12"/>
      <c r="N89" s="17">
        <f t="shared" si="35"/>
        <v>0</v>
      </c>
      <c r="O89" s="12"/>
      <c r="P89" s="17">
        <f t="shared" si="36"/>
        <v>0</v>
      </c>
      <c r="Q89" s="12">
        <f t="shared" si="37"/>
        <v>31</v>
      </c>
      <c r="R89" s="12">
        <v>200</v>
      </c>
      <c r="S89" s="17">
        <f t="shared" si="44"/>
        <v>200</v>
      </c>
      <c r="T89" s="12">
        <v>0</v>
      </c>
      <c r="U89" s="12">
        <v>0</v>
      </c>
      <c r="V89" s="12">
        <v>0</v>
      </c>
      <c r="W89" s="12">
        <v>0</v>
      </c>
      <c r="X89" s="17">
        <f t="shared" si="38"/>
        <v>900</v>
      </c>
      <c r="Y89" s="12"/>
      <c r="Z89" s="19"/>
      <c r="AA89" s="17">
        <v>900</v>
      </c>
      <c r="AB89" s="20">
        <f t="shared" si="42"/>
        <v>0</v>
      </c>
      <c r="AC89" s="20">
        <f t="shared" si="43"/>
        <v>870</v>
      </c>
      <c r="AD89" s="20">
        <f t="shared" si="40"/>
        <v>30</v>
      </c>
      <c r="AE89" s="17">
        <f>VLOOKUP(B89,[2]Sheet1!$B$4:$J$188,9,0)</f>
        <v>870</v>
      </c>
      <c r="AF89" s="20">
        <f t="shared" si="41"/>
        <v>30</v>
      </c>
      <c r="AG89" s="21" t="str">
        <f>VLOOKUP(B89,'[3]MASTER -COLOR CODE'!$B$6:$C$337,2,0)</f>
        <v>DIPENDRA RAY YADAV</v>
      </c>
      <c r="AH89" s="21"/>
    </row>
    <row r="90" spans="1:34" s="22" customFormat="1" x14ac:dyDescent="0.25">
      <c r="A90" s="12">
        <v>89</v>
      </c>
      <c r="B90" s="13" t="s">
        <v>204</v>
      </c>
      <c r="C90" s="67" t="s">
        <v>205</v>
      </c>
      <c r="D90" s="15" t="s">
        <v>98</v>
      </c>
      <c r="E90" s="16">
        <v>900</v>
      </c>
      <c r="F90" s="17">
        <v>700</v>
      </c>
      <c r="G90" s="12">
        <v>31</v>
      </c>
      <c r="H90" s="12">
        <v>0</v>
      </c>
      <c r="I90" s="18">
        <f t="shared" si="32"/>
        <v>31</v>
      </c>
      <c r="J90" s="17">
        <f t="shared" si="33"/>
        <v>700</v>
      </c>
      <c r="K90" s="34"/>
      <c r="L90" s="17">
        <f t="shared" si="34"/>
        <v>0</v>
      </c>
      <c r="M90" s="12"/>
      <c r="N90" s="17">
        <f t="shared" si="35"/>
        <v>0</v>
      </c>
      <c r="O90" s="12"/>
      <c r="P90" s="17">
        <f t="shared" si="36"/>
        <v>0</v>
      </c>
      <c r="Q90" s="12">
        <f t="shared" si="37"/>
        <v>31</v>
      </c>
      <c r="R90" s="12">
        <v>200</v>
      </c>
      <c r="S90" s="17">
        <f t="shared" si="44"/>
        <v>200</v>
      </c>
      <c r="T90" s="12">
        <v>0</v>
      </c>
      <c r="U90" s="12">
        <v>0</v>
      </c>
      <c r="V90" s="12">
        <v>0</v>
      </c>
      <c r="W90" s="12">
        <v>0</v>
      </c>
      <c r="X90" s="17">
        <f t="shared" si="38"/>
        <v>900</v>
      </c>
      <c r="Y90" s="12"/>
      <c r="Z90" s="19"/>
      <c r="AA90" s="17">
        <v>900</v>
      </c>
      <c r="AB90" s="20">
        <f t="shared" si="42"/>
        <v>0</v>
      </c>
      <c r="AC90" s="20">
        <f t="shared" si="43"/>
        <v>900</v>
      </c>
      <c r="AD90" s="20">
        <f t="shared" si="40"/>
        <v>0</v>
      </c>
      <c r="AE90" s="17">
        <f>VLOOKUP(B90,[2]Sheet1!$B$4:$J$188,9,0)</f>
        <v>900</v>
      </c>
      <c r="AF90" s="20">
        <f t="shared" si="41"/>
        <v>0</v>
      </c>
      <c r="AG90" s="21" t="str">
        <f>VLOOKUP(B90,'[3]MASTER -COLOR CODE'!$B$6:$C$337,2,0)</f>
        <v>PANKAJ KUMAR MOCHI</v>
      </c>
      <c r="AH90" s="21"/>
    </row>
    <row r="91" spans="1:34" s="22" customFormat="1" x14ac:dyDescent="0.25">
      <c r="A91" s="12">
        <v>90</v>
      </c>
      <c r="B91" s="13" t="s">
        <v>206</v>
      </c>
      <c r="C91" s="67" t="s">
        <v>207</v>
      </c>
      <c r="D91" s="15"/>
      <c r="E91" s="16">
        <v>900</v>
      </c>
      <c r="F91" s="17">
        <v>700</v>
      </c>
      <c r="G91" s="12">
        <v>31</v>
      </c>
      <c r="H91" s="12">
        <v>0</v>
      </c>
      <c r="I91" s="18">
        <f t="shared" si="32"/>
        <v>31</v>
      </c>
      <c r="J91" s="17">
        <f t="shared" si="33"/>
        <v>700</v>
      </c>
      <c r="K91" s="34"/>
      <c r="L91" s="17">
        <f t="shared" si="34"/>
        <v>0</v>
      </c>
      <c r="M91" s="12"/>
      <c r="N91" s="17">
        <f t="shared" si="35"/>
        <v>0</v>
      </c>
      <c r="O91" s="12"/>
      <c r="P91" s="17">
        <f t="shared" si="36"/>
        <v>0</v>
      </c>
      <c r="Q91" s="12">
        <f t="shared" si="37"/>
        <v>31</v>
      </c>
      <c r="R91" s="12">
        <v>200</v>
      </c>
      <c r="S91" s="17">
        <f t="shared" si="44"/>
        <v>200</v>
      </c>
      <c r="T91" s="12">
        <v>0</v>
      </c>
      <c r="U91" s="12">
        <v>0</v>
      </c>
      <c r="V91" s="12">
        <v>0</v>
      </c>
      <c r="W91" s="12">
        <v>0</v>
      </c>
      <c r="X91" s="17">
        <f t="shared" si="38"/>
        <v>900</v>
      </c>
      <c r="Y91" s="12"/>
      <c r="Z91" s="19"/>
      <c r="AA91" s="17">
        <v>900</v>
      </c>
      <c r="AB91" s="20">
        <f t="shared" si="42"/>
        <v>0</v>
      </c>
      <c r="AC91" s="20">
        <f t="shared" si="43"/>
        <v>900</v>
      </c>
      <c r="AD91" s="20">
        <f t="shared" si="40"/>
        <v>0</v>
      </c>
      <c r="AE91" s="17">
        <f>VLOOKUP(B91,[2]Sheet1!$B$4:$J$188,9,0)</f>
        <v>900</v>
      </c>
      <c r="AF91" s="20">
        <f t="shared" si="41"/>
        <v>0</v>
      </c>
      <c r="AG91" s="21" t="str">
        <f>VLOOKUP(B91,'[3]MASTER -COLOR CODE'!$B$6:$C$337,2,0)</f>
        <v>HARINDAR HAJARI</v>
      </c>
      <c r="AH91" s="21"/>
    </row>
    <row r="92" spans="1:34" s="22" customFormat="1" x14ac:dyDescent="0.25">
      <c r="A92" s="12">
        <v>91</v>
      </c>
      <c r="B92" s="13" t="s">
        <v>208</v>
      </c>
      <c r="C92" s="67" t="s">
        <v>209</v>
      </c>
      <c r="D92" s="15"/>
      <c r="E92" s="16">
        <v>900</v>
      </c>
      <c r="F92" s="17">
        <v>700</v>
      </c>
      <c r="G92" s="12">
        <v>31</v>
      </c>
      <c r="H92" s="12">
        <v>13</v>
      </c>
      <c r="I92" s="18">
        <f t="shared" si="32"/>
        <v>18</v>
      </c>
      <c r="J92" s="17">
        <f t="shared" si="33"/>
        <v>406.45161290322585</v>
      </c>
      <c r="K92" s="34"/>
      <c r="L92" s="17">
        <f t="shared" si="34"/>
        <v>0</v>
      </c>
      <c r="M92" s="12"/>
      <c r="N92" s="17">
        <f t="shared" si="35"/>
        <v>0</v>
      </c>
      <c r="O92" s="12"/>
      <c r="P92" s="17">
        <f t="shared" si="36"/>
        <v>0</v>
      </c>
      <c r="Q92" s="12">
        <f t="shared" si="37"/>
        <v>18</v>
      </c>
      <c r="R92" s="12">
        <v>200</v>
      </c>
      <c r="S92" s="17">
        <f t="shared" si="44"/>
        <v>116.12903225806451</v>
      </c>
      <c r="T92" s="12">
        <v>0</v>
      </c>
      <c r="U92" s="12">
        <v>0</v>
      </c>
      <c r="V92" s="12">
        <v>0</v>
      </c>
      <c r="W92" s="12">
        <v>0</v>
      </c>
      <c r="X92" s="17">
        <f t="shared" si="38"/>
        <v>522.58064516129036</v>
      </c>
      <c r="Y92" s="12"/>
      <c r="Z92" s="19"/>
      <c r="AA92" s="17">
        <v>523</v>
      </c>
      <c r="AB92" s="20">
        <f t="shared" si="42"/>
        <v>-0.41935483870963708</v>
      </c>
      <c r="AC92" s="20">
        <f t="shared" si="43"/>
        <v>899.58064516129036</v>
      </c>
      <c r="AD92" s="20">
        <f t="shared" si="40"/>
        <v>-377</v>
      </c>
      <c r="AE92" s="17">
        <f>VLOOKUP(B92,[2]Sheet1!$B$4:$J$188,9,0)</f>
        <v>900</v>
      </c>
      <c r="AF92" s="20">
        <f t="shared" si="41"/>
        <v>-377.41935483870964</v>
      </c>
      <c r="AG92" s="21" t="str">
        <f>VLOOKUP(B92,'[3]MASTER -COLOR CODE'!$B$6:$C$337,2,0)</f>
        <v>JIBAN KUMAR THAKUR</v>
      </c>
      <c r="AH92" s="21"/>
    </row>
    <row r="93" spans="1:34" s="22" customFormat="1" x14ac:dyDescent="0.25">
      <c r="A93" s="12">
        <v>92</v>
      </c>
      <c r="B93" s="13" t="s">
        <v>210</v>
      </c>
      <c r="C93" s="67" t="s">
        <v>211</v>
      </c>
      <c r="D93" s="15"/>
      <c r="E93" s="16">
        <v>900</v>
      </c>
      <c r="F93" s="17">
        <v>700</v>
      </c>
      <c r="G93" s="12">
        <v>31</v>
      </c>
      <c r="H93" s="12">
        <v>0</v>
      </c>
      <c r="I93" s="18">
        <f t="shared" si="32"/>
        <v>31</v>
      </c>
      <c r="J93" s="17">
        <f t="shared" si="33"/>
        <v>700</v>
      </c>
      <c r="K93" s="34"/>
      <c r="L93" s="17">
        <f t="shared" si="34"/>
        <v>0</v>
      </c>
      <c r="M93" s="12"/>
      <c r="N93" s="17">
        <f t="shared" si="35"/>
        <v>0</v>
      </c>
      <c r="O93" s="12"/>
      <c r="P93" s="17">
        <f t="shared" si="36"/>
        <v>0</v>
      </c>
      <c r="Q93" s="12">
        <f t="shared" si="37"/>
        <v>31</v>
      </c>
      <c r="R93" s="12">
        <v>200</v>
      </c>
      <c r="S93" s="17">
        <f t="shared" si="44"/>
        <v>200</v>
      </c>
      <c r="T93" s="12">
        <v>0</v>
      </c>
      <c r="U93" s="12">
        <v>0</v>
      </c>
      <c r="V93" s="12">
        <v>0</v>
      </c>
      <c r="W93" s="12">
        <v>0</v>
      </c>
      <c r="X93" s="17">
        <f t="shared" si="38"/>
        <v>900</v>
      </c>
      <c r="Y93" s="12"/>
      <c r="Z93" s="19"/>
      <c r="AA93" s="17">
        <v>900</v>
      </c>
      <c r="AB93" s="20">
        <f t="shared" si="42"/>
        <v>0</v>
      </c>
      <c r="AC93" s="20">
        <f t="shared" si="43"/>
        <v>900</v>
      </c>
      <c r="AD93" s="20">
        <f t="shared" si="40"/>
        <v>0</v>
      </c>
      <c r="AE93" s="17">
        <f>VLOOKUP(B93,[2]Sheet1!$B$4:$J$188,9,0)</f>
        <v>900</v>
      </c>
      <c r="AF93" s="20">
        <f t="shared" si="41"/>
        <v>0</v>
      </c>
      <c r="AG93" s="21" t="str">
        <f>VLOOKUP(B93,'[3]MASTER -COLOR CODE'!$B$6:$C$337,2,0)</f>
        <v>SUNDAR KUMAR SADAY ANESIYA</v>
      </c>
      <c r="AH93" s="21"/>
    </row>
    <row r="94" spans="1:34" s="22" customFormat="1" x14ac:dyDescent="0.25">
      <c r="A94" s="12">
        <v>93</v>
      </c>
      <c r="B94" s="13" t="s">
        <v>212</v>
      </c>
      <c r="C94" s="67" t="s">
        <v>213</v>
      </c>
      <c r="D94" s="15"/>
      <c r="E94" s="16">
        <v>900</v>
      </c>
      <c r="F94" s="17">
        <v>700</v>
      </c>
      <c r="G94" s="12">
        <v>31</v>
      </c>
      <c r="H94" s="12">
        <v>0</v>
      </c>
      <c r="I94" s="18">
        <f t="shared" si="32"/>
        <v>31</v>
      </c>
      <c r="J94" s="17">
        <f t="shared" si="33"/>
        <v>700</v>
      </c>
      <c r="K94" s="34"/>
      <c r="L94" s="17">
        <f t="shared" si="34"/>
        <v>0</v>
      </c>
      <c r="M94" s="12"/>
      <c r="N94" s="17">
        <f t="shared" si="35"/>
        <v>0</v>
      </c>
      <c r="O94" s="12"/>
      <c r="P94" s="17">
        <f t="shared" si="36"/>
        <v>0</v>
      </c>
      <c r="Q94" s="12">
        <f t="shared" si="37"/>
        <v>31</v>
      </c>
      <c r="R94" s="12">
        <v>200</v>
      </c>
      <c r="S94" s="17">
        <f t="shared" si="44"/>
        <v>200</v>
      </c>
      <c r="T94" s="12">
        <v>0</v>
      </c>
      <c r="U94" s="12">
        <v>0</v>
      </c>
      <c r="V94" s="12">
        <v>0</v>
      </c>
      <c r="W94" s="12">
        <v>0</v>
      </c>
      <c r="X94" s="17">
        <f t="shared" si="38"/>
        <v>900</v>
      </c>
      <c r="Y94" s="12"/>
      <c r="Z94" s="19"/>
      <c r="AA94" s="17">
        <v>900</v>
      </c>
      <c r="AB94" s="20">
        <f t="shared" si="42"/>
        <v>0</v>
      </c>
      <c r="AC94" s="20">
        <f t="shared" si="43"/>
        <v>900</v>
      </c>
      <c r="AD94" s="20">
        <f t="shared" si="40"/>
        <v>0</v>
      </c>
      <c r="AE94" s="17">
        <f>VLOOKUP(B94,[2]Sheet1!$B$4:$J$188,9,0)</f>
        <v>900</v>
      </c>
      <c r="AF94" s="20">
        <f t="shared" si="41"/>
        <v>0</v>
      </c>
      <c r="AG94" s="21" t="str">
        <f>VLOOKUP(B94,'[3]MASTER -COLOR CODE'!$B$6:$C$337,2,0)</f>
        <v>GANESH RAI KUL BAHADUR RAI</v>
      </c>
      <c r="AH94" s="21"/>
    </row>
    <row r="95" spans="1:34" s="22" customFormat="1" x14ac:dyDescent="0.25">
      <c r="A95" s="12">
        <v>94</v>
      </c>
      <c r="B95" s="13" t="s">
        <v>214</v>
      </c>
      <c r="C95" s="67" t="s">
        <v>215</v>
      </c>
      <c r="D95" s="15"/>
      <c r="E95" s="16">
        <v>900</v>
      </c>
      <c r="F95" s="17">
        <v>700</v>
      </c>
      <c r="G95" s="12">
        <v>31</v>
      </c>
      <c r="H95" s="12">
        <v>0</v>
      </c>
      <c r="I95" s="18">
        <f t="shared" si="32"/>
        <v>31</v>
      </c>
      <c r="J95" s="17">
        <f t="shared" si="33"/>
        <v>700</v>
      </c>
      <c r="K95" s="34"/>
      <c r="L95" s="17">
        <f t="shared" si="34"/>
        <v>0</v>
      </c>
      <c r="M95" s="12"/>
      <c r="N95" s="17">
        <f t="shared" si="35"/>
        <v>0</v>
      </c>
      <c r="O95" s="12"/>
      <c r="P95" s="17">
        <f t="shared" si="36"/>
        <v>0</v>
      </c>
      <c r="Q95" s="12">
        <f t="shared" si="37"/>
        <v>31</v>
      </c>
      <c r="R95" s="12">
        <v>200</v>
      </c>
      <c r="S95" s="17">
        <f t="shared" si="44"/>
        <v>200</v>
      </c>
      <c r="T95" s="12">
        <v>0</v>
      </c>
      <c r="U95" s="12">
        <v>0</v>
      </c>
      <c r="V95" s="12">
        <v>0</v>
      </c>
      <c r="W95" s="12">
        <v>0</v>
      </c>
      <c r="X95" s="17">
        <f t="shared" si="38"/>
        <v>900</v>
      </c>
      <c r="Y95" s="12"/>
      <c r="Z95" s="19"/>
      <c r="AA95" s="17">
        <v>900</v>
      </c>
      <c r="AB95" s="20">
        <f t="shared" si="42"/>
        <v>0</v>
      </c>
      <c r="AC95" s="20">
        <f t="shared" si="43"/>
        <v>870</v>
      </c>
      <c r="AD95" s="20">
        <f t="shared" si="40"/>
        <v>30</v>
      </c>
      <c r="AE95" s="17">
        <f>VLOOKUP(B95,[2]Sheet1!$B$4:$J$188,9,0)</f>
        <v>870</v>
      </c>
      <c r="AF95" s="20">
        <f t="shared" si="41"/>
        <v>30</v>
      </c>
      <c r="AG95" s="21" t="str">
        <f>VLOOKUP(B95,'[3]MASTER -COLOR CODE'!$B$6:$C$337,2,0)</f>
        <v>DHANBIR MANDAL BILTU MANDAL</v>
      </c>
      <c r="AH95" s="21"/>
    </row>
    <row r="96" spans="1:34" s="22" customFormat="1" x14ac:dyDescent="0.25">
      <c r="A96" s="12">
        <v>95</v>
      </c>
      <c r="B96" s="13" t="s">
        <v>216</v>
      </c>
      <c r="C96" s="67" t="s">
        <v>217</v>
      </c>
      <c r="D96" s="15"/>
      <c r="E96" s="16">
        <v>900</v>
      </c>
      <c r="F96" s="17">
        <v>700</v>
      </c>
      <c r="G96" s="12">
        <v>31</v>
      </c>
      <c r="H96" s="12">
        <v>0</v>
      </c>
      <c r="I96" s="18">
        <f t="shared" si="32"/>
        <v>31</v>
      </c>
      <c r="J96" s="17">
        <f t="shared" si="33"/>
        <v>700</v>
      </c>
      <c r="K96" s="34"/>
      <c r="L96" s="17">
        <f t="shared" si="34"/>
        <v>0</v>
      </c>
      <c r="M96" s="12"/>
      <c r="N96" s="17">
        <f t="shared" si="35"/>
        <v>0</v>
      </c>
      <c r="O96" s="12"/>
      <c r="P96" s="17">
        <f t="shared" si="36"/>
        <v>0</v>
      </c>
      <c r="Q96" s="12">
        <f t="shared" si="37"/>
        <v>31</v>
      </c>
      <c r="R96" s="12">
        <v>200</v>
      </c>
      <c r="S96" s="17">
        <f t="shared" si="44"/>
        <v>200</v>
      </c>
      <c r="T96" s="12">
        <v>0</v>
      </c>
      <c r="U96" s="12">
        <v>0</v>
      </c>
      <c r="V96" s="12">
        <v>0</v>
      </c>
      <c r="W96" s="12">
        <v>0</v>
      </c>
      <c r="X96" s="17">
        <f t="shared" si="38"/>
        <v>900</v>
      </c>
      <c r="Y96" s="12"/>
      <c r="Z96" s="19"/>
      <c r="AA96" s="17">
        <v>900</v>
      </c>
      <c r="AB96" s="20">
        <f t="shared" si="42"/>
        <v>0</v>
      </c>
      <c r="AC96" s="20">
        <f t="shared" si="43"/>
        <v>900</v>
      </c>
      <c r="AD96" s="20">
        <f t="shared" si="40"/>
        <v>0</v>
      </c>
      <c r="AE96" s="17">
        <f>VLOOKUP(B96,[2]Sheet1!$B$4:$J$188,9,0)</f>
        <v>900</v>
      </c>
      <c r="AF96" s="20">
        <f t="shared" si="41"/>
        <v>0</v>
      </c>
      <c r="AG96" s="21" t="str">
        <f>VLOOKUP(B96,'[3]MASTER -COLOR CODE'!$B$6:$C$337,2,0)</f>
        <v>SUNIL KUMAR YADAV RAMA TARAIT</v>
      </c>
      <c r="AH96" s="21"/>
    </row>
    <row r="97" spans="1:34" s="22" customFormat="1" x14ac:dyDescent="0.25">
      <c r="A97" s="12">
        <v>96</v>
      </c>
      <c r="B97" s="13" t="s">
        <v>218</v>
      </c>
      <c r="C97" s="67" t="s">
        <v>219</v>
      </c>
      <c r="D97" s="15"/>
      <c r="E97" s="16">
        <v>900</v>
      </c>
      <c r="F97" s="17">
        <v>700</v>
      </c>
      <c r="G97" s="12">
        <v>31</v>
      </c>
      <c r="H97" s="12">
        <v>0</v>
      </c>
      <c r="I97" s="18">
        <f t="shared" si="32"/>
        <v>31</v>
      </c>
      <c r="J97" s="17">
        <f t="shared" si="33"/>
        <v>700</v>
      </c>
      <c r="K97" s="34"/>
      <c r="L97" s="17">
        <f t="shared" si="34"/>
        <v>0</v>
      </c>
      <c r="M97" s="12"/>
      <c r="N97" s="17">
        <f t="shared" si="35"/>
        <v>0</v>
      </c>
      <c r="O97" s="12"/>
      <c r="P97" s="17">
        <f t="shared" si="36"/>
        <v>0</v>
      </c>
      <c r="Q97" s="12">
        <f t="shared" si="37"/>
        <v>31</v>
      </c>
      <c r="R97" s="12">
        <v>200</v>
      </c>
      <c r="S97" s="17">
        <f t="shared" si="44"/>
        <v>200</v>
      </c>
      <c r="T97" s="12">
        <v>0</v>
      </c>
      <c r="U97" s="12">
        <v>0</v>
      </c>
      <c r="V97" s="12">
        <v>0</v>
      </c>
      <c r="W97" s="12">
        <v>0</v>
      </c>
      <c r="X97" s="17">
        <f t="shared" si="38"/>
        <v>900</v>
      </c>
      <c r="Y97" s="12"/>
      <c r="Z97" s="19"/>
      <c r="AA97" s="17">
        <v>900</v>
      </c>
      <c r="AB97" s="20">
        <f t="shared" si="42"/>
        <v>0</v>
      </c>
      <c r="AC97" s="20">
        <f t="shared" si="43"/>
        <v>900</v>
      </c>
      <c r="AD97" s="20">
        <f t="shared" si="40"/>
        <v>0</v>
      </c>
      <c r="AE97" s="17">
        <f>VLOOKUP(B97,[2]Sheet1!$B$4:$J$188,9,0)</f>
        <v>900</v>
      </c>
      <c r="AF97" s="20">
        <f t="shared" si="41"/>
        <v>0</v>
      </c>
      <c r="AG97" s="21" t="str">
        <f>VLOOKUP(B97,'[3]MASTER -COLOR CODE'!$B$6:$C$337,2,0)</f>
        <v>KUMAR BISHWAKARMA SAHAMAN</v>
      </c>
      <c r="AH97" s="21"/>
    </row>
    <row r="98" spans="1:34" s="22" customFormat="1" x14ac:dyDescent="0.25">
      <c r="A98" s="12">
        <v>97</v>
      </c>
      <c r="B98" s="13" t="s">
        <v>220</v>
      </c>
      <c r="C98" s="67" t="s">
        <v>221</v>
      </c>
      <c r="D98" s="15"/>
      <c r="E98" s="16">
        <v>900</v>
      </c>
      <c r="F98" s="17">
        <v>700</v>
      </c>
      <c r="G98" s="12">
        <v>31</v>
      </c>
      <c r="H98" s="12">
        <v>1</v>
      </c>
      <c r="I98" s="18">
        <f t="shared" ref="I98:I129" si="45">G98-H98</f>
        <v>30</v>
      </c>
      <c r="J98" s="17">
        <f t="shared" si="33"/>
        <v>677.41935483870975</v>
      </c>
      <c r="K98" s="34"/>
      <c r="L98" s="17">
        <f t="shared" ref="L98:L126" si="46">F98/30/8*1.25*K98</f>
        <v>0</v>
      </c>
      <c r="M98" s="12"/>
      <c r="N98" s="17">
        <f t="shared" ref="N98:N129" si="47">F98/30/8*1.25*M98</f>
        <v>0</v>
      </c>
      <c r="O98" s="12"/>
      <c r="P98" s="17">
        <f t="shared" ref="P98:P129" si="48">F98/30/8*1.5*O98</f>
        <v>0</v>
      </c>
      <c r="Q98" s="12">
        <f t="shared" ref="Q98:Q112" si="49">I98</f>
        <v>30</v>
      </c>
      <c r="R98" s="12">
        <v>200</v>
      </c>
      <c r="S98" s="17">
        <f t="shared" si="44"/>
        <v>193.54838709677418</v>
      </c>
      <c r="T98" s="12">
        <v>0</v>
      </c>
      <c r="U98" s="12">
        <v>0</v>
      </c>
      <c r="V98" s="12">
        <v>0</v>
      </c>
      <c r="W98" s="12">
        <v>0</v>
      </c>
      <c r="X98" s="17">
        <f t="shared" ref="X98:X129" si="50">J98+L98+N98+P98+S98+T98+U98+V98-W98</f>
        <v>870.9677419354839</v>
      </c>
      <c r="Y98" s="12"/>
      <c r="Z98" s="19"/>
      <c r="AA98" s="17">
        <v>871</v>
      </c>
      <c r="AB98" s="20">
        <f t="shared" si="42"/>
        <v>-3.2258064516099694E-2</v>
      </c>
      <c r="AC98" s="20">
        <f t="shared" si="43"/>
        <v>899.9677419354839</v>
      </c>
      <c r="AD98" s="20">
        <f t="shared" ref="AD98:AD129" si="51">X98-AC98</f>
        <v>-29</v>
      </c>
      <c r="AE98" s="17">
        <f>VLOOKUP(B98,[2]Sheet1!$B$4:$J$188,9,0)</f>
        <v>900</v>
      </c>
      <c r="AF98" s="20">
        <f t="shared" ref="AF98:AF129" si="52">X98-AE98</f>
        <v>-29.0322580645161</v>
      </c>
      <c r="AG98" s="21" t="str">
        <f>VLOOKUP(B98,'[3]MASTER -COLOR CODE'!$B$6:$C$337,2,0)</f>
        <v>ASIS KHATWE JANG BAHADUR KHATWE</v>
      </c>
      <c r="AH98" s="21"/>
    </row>
    <row r="99" spans="1:34" s="22" customFormat="1" x14ac:dyDescent="0.25">
      <c r="A99" s="12">
        <v>98</v>
      </c>
      <c r="B99" s="13" t="s">
        <v>222</v>
      </c>
      <c r="C99" s="67" t="s">
        <v>223</v>
      </c>
      <c r="D99" s="15"/>
      <c r="E99" s="16">
        <v>900</v>
      </c>
      <c r="F99" s="17">
        <v>700</v>
      </c>
      <c r="G99" s="12">
        <v>31</v>
      </c>
      <c r="H99" s="12">
        <v>2</v>
      </c>
      <c r="I99" s="18">
        <f t="shared" si="45"/>
        <v>29</v>
      </c>
      <c r="J99" s="17">
        <f t="shared" si="33"/>
        <v>654.83870967741939</v>
      </c>
      <c r="K99" s="34"/>
      <c r="L99" s="17">
        <f t="shared" si="46"/>
        <v>0</v>
      </c>
      <c r="M99" s="12"/>
      <c r="N99" s="17">
        <f t="shared" si="47"/>
        <v>0</v>
      </c>
      <c r="O99" s="12"/>
      <c r="P99" s="17">
        <f t="shared" si="48"/>
        <v>0</v>
      </c>
      <c r="Q99" s="12">
        <f t="shared" si="49"/>
        <v>29</v>
      </c>
      <c r="R99" s="12">
        <v>200</v>
      </c>
      <c r="S99" s="17">
        <f t="shared" si="44"/>
        <v>187.09677419354838</v>
      </c>
      <c r="T99" s="12">
        <v>0</v>
      </c>
      <c r="U99" s="12">
        <v>0</v>
      </c>
      <c r="V99" s="12">
        <v>0</v>
      </c>
      <c r="W99" s="12">
        <v>0</v>
      </c>
      <c r="X99" s="17">
        <f t="shared" si="50"/>
        <v>841.9354838709678</v>
      </c>
      <c r="Y99" s="12"/>
      <c r="Z99" s="19"/>
      <c r="AA99" s="17">
        <v>842</v>
      </c>
      <c r="AB99" s="20">
        <f t="shared" si="42"/>
        <v>-6.4516129032199387E-2</v>
      </c>
      <c r="AC99" s="20">
        <f t="shared" si="43"/>
        <v>899.9354838709678</v>
      </c>
      <c r="AD99" s="20">
        <f t="shared" si="51"/>
        <v>-58</v>
      </c>
      <c r="AE99" s="17">
        <f>VLOOKUP(B99,[2]Sheet1!$B$4:$J$188,9,0)</f>
        <v>900</v>
      </c>
      <c r="AF99" s="20">
        <f t="shared" si="52"/>
        <v>-58.064516129032199</v>
      </c>
      <c r="AG99" s="21" t="str">
        <f>VLOOKUP(B99,'[3]MASTER -COLOR CODE'!$B$6:$C$337,2,0)</f>
        <v>RAJ KUMAR SADA</v>
      </c>
      <c r="AH99" s="21"/>
    </row>
    <row r="100" spans="1:34" s="22" customFormat="1" x14ac:dyDescent="0.25">
      <c r="A100" s="12">
        <v>99</v>
      </c>
      <c r="B100" s="13" t="s">
        <v>224</v>
      </c>
      <c r="C100" s="67" t="s">
        <v>225</v>
      </c>
      <c r="D100" s="15"/>
      <c r="E100" s="16">
        <v>900</v>
      </c>
      <c r="F100" s="17">
        <v>700</v>
      </c>
      <c r="G100" s="12">
        <v>31</v>
      </c>
      <c r="H100" s="12">
        <v>0</v>
      </c>
      <c r="I100" s="18">
        <f t="shared" si="45"/>
        <v>31</v>
      </c>
      <c r="J100" s="17">
        <f t="shared" si="33"/>
        <v>700</v>
      </c>
      <c r="K100" s="34"/>
      <c r="L100" s="17">
        <f t="shared" si="46"/>
        <v>0</v>
      </c>
      <c r="M100" s="12"/>
      <c r="N100" s="17">
        <f t="shared" si="47"/>
        <v>0</v>
      </c>
      <c r="O100" s="12"/>
      <c r="P100" s="17">
        <f t="shared" si="48"/>
        <v>0</v>
      </c>
      <c r="Q100" s="12">
        <f t="shared" si="49"/>
        <v>31</v>
      </c>
      <c r="R100" s="12">
        <v>200</v>
      </c>
      <c r="S100" s="17">
        <f t="shared" si="44"/>
        <v>200</v>
      </c>
      <c r="T100" s="12">
        <v>0</v>
      </c>
      <c r="U100" s="12">
        <v>0</v>
      </c>
      <c r="V100" s="12">
        <v>0</v>
      </c>
      <c r="W100" s="12">
        <v>0</v>
      </c>
      <c r="X100" s="17">
        <f t="shared" si="50"/>
        <v>900</v>
      </c>
      <c r="Y100" s="12"/>
      <c r="Z100" s="19"/>
      <c r="AA100" s="17">
        <v>900</v>
      </c>
      <c r="AB100" s="20">
        <f t="shared" si="42"/>
        <v>0</v>
      </c>
      <c r="AC100" s="20">
        <f t="shared" si="43"/>
        <v>900</v>
      </c>
      <c r="AD100" s="20">
        <f t="shared" si="51"/>
        <v>0</v>
      </c>
      <c r="AE100" s="17">
        <f>VLOOKUP(B100,[2]Sheet1!$B$4:$J$188,9,0)</f>
        <v>900</v>
      </c>
      <c r="AF100" s="20">
        <f t="shared" si="52"/>
        <v>0</v>
      </c>
      <c r="AG100" s="21" t="str">
        <f>VLOOKUP(B100,'[3]MASTER -COLOR CODE'!$B$6:$C$337,2,0)</f>
        <v>MUKESH SADA</v>
      </c>
      <c r="AH100" s="21"/>
    </row>
    <row r="101" spans="1:34" s="22" customFormat="1" x14ac:dyDescent="0.25">
      <c r="A101" s="12">
        <v>100</v>
      </c>
      <c r="B101" s="13" t="s">
        <v>226</v>
      </c>
      <c r="C101" s="67" t="s">
        <v>227</v>
      </c>
      <c r="D101" s="15"/>
      <c r="E101" s="16">
        <v>900</v>
      </c>
      <c r="F101" s="17">
        <v>700</v>
      </c>
      <c r="G101" s="12">
        <v>31</v>
      </c>
      <c r="H101" s="12">
        <v>0</v>
      </c>
      <c r="I101" s="18">
        <f t="shared" si="45"/>
        <v>31</v>
      </c>
      <c r="J101" s="17">
        <f t="shared" si="33"/>
        <v>700</v>
      </c>
      <c r="K101" s="34"/>
      <c r="L101" s="17">
        <f t="shared" si="46"/>
        <v>0</v>
      </c>
      <c r="M101" s="12"/>
      <c r="N101" s="17">
        <f t="shared" si="47"/>
        <v>0</v>
      </c>
      <c r="O101" s="12"/>
      <c r="P101" s="17">
        <f t="shared" si="48"/>
        <v>0</v>
      </c>
      <c r="Q101" s="12">
        <f t="shared" si="49"/>
        <v>31</v>
      </c>
      <c r="R101" s="12">
        <v>200</v>
      </c>
      <c r="S101" s="17">
        <f t="shared" si="44"/>
        <v>200</v>
      </c>
      <c r="T101" s="12">
        <v>0</v>
      </c>
      <c r="U101" s="12">
        <v>0</v>
      </c>
      <c r="V101" s="12">
        <v>0</v>
      </c>
      <c r="W101" s="12">
        <v>0</v>
      </c>
      <c r="X101" s="17">
        <f t="shared" si="50"/>
        <v>900</v>
      </c>
      <c r="Y101" s="12"/>
      <c r="Z101" s="19"/>
      <c r="AA101" s="17">
        <v>900</v>
      </c>
      <c r="AB101" s="20">
        <f t="shared" si="42"/>
        <v>0</v>
      </c>
      <c r="AC101" s="20">
        <f t="shared" si="43"/>
        <v>810</v>
      </c>
      <c r="AD101" s="20">
        <f t="shared" si="51"/>
        <v>90</v>
      </c>
      <c r="AE101" s="17">
        <f>VLOOKUP(B101,[2]Sheet1!$B$4:$J$188,9,0)</f>
        <v>810</v>
      </c>
      <c r="AF101" s="20">
        <f t="shared" si="52"/>
        <v>90</v>
      </c>
      <c r="AG101" s="21" t="str">
        <f>VLOOKUP(B101,'[3]MASTER -COLOR CODE'!$B$6:$C$337,2,0)</f>
        <v>LALKU SADA LADDU SADA</v>
      </c>
      <c r="AH101" s="21"/>
    </row>
    <row r="102" spans="1:34" s="22" customFormat="1" x14ac:dyDescent="0.25">
      <c r="A102" s="12">
        <v>101</v>
      </c>
      <c r="B102" s="13" t="s">
        <v>228</v>
      </c>
      <c r="C102" s="67" t="s">
        <v>229</v>
      </c>
      <c r="D102" s="15"/>
      <c r="E102" s="16">
        <v>900</v>
      </c>
      <c r="F102" s="17">
        <v>700</v>
      </c>
      <c r="G102" s="12">
        <v>31</v>
      </c>
      <c r="H102" s="12">
        <v>0</v>
      </c>
      <c r="I102" s="18">
        <f t="shared" si="45"/>
        <v>31</v>
      </c>
      <c r="J102" s="17">
        <f t="shared" si="33"/>
        <v>700</v>
      </c>
      <c r="K102" s="34"/>
      <c r="L102" s="17">
        <f t="shared" si="46"/>
        <v>0</v>
      </c>
      <c r="M102" s="12"/>
      <c r="N102" s="17">
        <f t="shared" si="47"/>
        <v>0</v>
      </c>
      <c r="O102" s="12"/>
      <c r="P102" s="17">
        <f t="shared" si="48"/>
        <v>0</v>
      </c>
      <c r="Q102" s="12">
        <f t="shared" si="49"/>
        <v>31</v>
      </c>
      <c r="R102" s="12">
        <v>200</v>
      </c>
      <c r="S102" s="17">
        <f t="shared" si="44"/>
        <v>200</v>
      </c>
      <c r="T102" s="12">
        <v>0</v>
      </c>
      <c r="U102" s="12">
        <v>0</v>
      </c>
      <c r="V102" s="12">
        <v>0</v>
      </c>
      <c r="W102" s="12">
        <v>0</v>
      </c>
      <c r="X102" s="17">
        <f t="shared" si="50"/>
        <v>900</v>
      </c>
      <c r="Y102" s="12"/>
      <c r="Z102" s="19"/>
      <c r="AA102" s="17">
        <v>900</v>
      </c>
      <c r="AB102" s="20">
        <f t="shared" si="42"/>
        <v>0</v>
      </c>
      <c r="AC102" s="20">
        <f t="shared" si="43"/>
        <v>900</v>
      </c>
      <c r="AD102" s="20">
        <f t="shared" si="51"/>
        <v>0</v>
      </c>
      <c r="AE102" s="17">
        <f>VLOOKUP(B102,[2]Sheet1!$B$4:$J$188,9,0)</f>
        <v>900</v>
      </c>
      <c r="AF102" s="20">
        <f t="shared" si="52"/>
        <v>0</v>
      </c>
      <c r="AG102" s="21" t="str">
        <f>VLOOKUP(B102,'[3]MASTER -COLOR CODE'!$B$6:$C$337,2,0)</f>
        <v>JIREKHAN MAJI</v>
      </c>
      <c r="AH102" s="21"/>
    </row>
    <row r="103" spans="1:34" s="22" customFormat="1" x14ac:dyDescent="0.25">
      <c r="A103" s="12">
        <v>102</v>
      </c>
      <c r="B103" s="13" t="s">
        <v>230</v>
      </c>
      <c r="C103" s="67" t="s">
        <v>231</v>
      </c>
      <c r="D103" s="15"/>
      <c r="E103" s="16">
        <v>900</v>
      </c>
      <c r="F103" s="17">
        <v>700</v>
      </c>
      <c r="G103" s="12">
        <v>31</v>
      </c>
      <c r="H103" s="12">
        <v>0</v>
      </c>
      <c r="I103" s="18">
        <f t="shared" si="45"/>
        <v>31</v>
      </c>
      <c r="J103" s="17">
        <f t="shared" si="33"/>
        <v>700</v>
      </c>
      <c r="K103" s="34"/>
      <c r="L103" s="17">
        <f t="shared" si="46"/>
        <v>0</v>
      </c>
      <c r="M103" s="12"/>
      <c r="N103" s="17">
        <f t="shared" si="47"/>
        <v>0</v>
      </c>
      <c r="O103" s="12"/>
      <c r="P103" s="17">
        <f t="shared" si="48"/>
        <v>0</v>
      </c>
      <c r="Q103" s="12">
        <f t="shared" si="49"/>
        <v>31</v>
      </c>
      <c r="R103" s="12">
        <v>200</v>
      </c>
      <c r="S103" s="17">
        <f t="shared" si="44"/>
        <v>200</v>
      </c>
      <c r="T103" s="12">
        <v>0</v>
      </c>
      <c r="U103" s="12">
        <v>0</v>
      </c>
      <c r="V103" s="12">
        <v>0</v>
      </c>
      <c r="W103" s="12">
        <v>0</v>
      </c>
      <c r="X103" s="17">
        <f t="shared" si="50"/>
        <v>900</v>
      </c>
      <c r="Y103" s="12"/>
      <c r="Z103" s="19"/>
      <c r="AA103" s="17">
        <v>900</v>
      </c>
      <c r="AB103" s="20">
        <f t="shared" si="42"/>
        <v>0</v>
      </c>
      <c r="AC103" s="20">
        <f t="shared" si="43"/>
        <v>900</v>
      </c>
      <c r="AD103" s="20">
        <f t="shared" si="51"/>
        <v>0</v>
      </c>
      <c r="AE103" s="17">
        <f>VLOOKUP(B103,[2]Sheet1!$B$4:$J$188,9,0)</f>
        <v>900</v>
      </c>
      <c r="AF103" s="20">
        <f t="shared" si="52"/>
        <v>0</v>
      </c>
      <c r="AG103" s="21" t="str">
        <f>VLOOKUP(B103,'[3]MASTER -COLOR CODE'!$B$6:$C$337,2,0)</f>
        <v>BASU SADA GUNTEN SADA</v>
      </c>
      <c r="AH103" s="21"/>
    </row>
    <row r="104" spans="1:34" s="22" customFormat="1" x14ac:dyDescent="0.25">
      <c r="A104" s="12">
        <v>103</v>
      </c>
      <c r="B104" s="13" t="s">
        <v>232</v>
      </c>
      <c r="C104" s="67" t="s">
        <v>233</v>
      </c>
      <c r="D104" s="15"/>
      <c r="E104" s="16">
        <v>900</v>
      </c>
      <c r="F104" s="17">
        <v>700</v>
      </c>
      <c r="G104" s="12">
        <v>31</v>
      </c>
      <c r="H104" s="12">
        <v>0</v>
      </c>
      <c r="I104" s="18">
        <f t="shared" si="45"/>
        <v>31</v>
      </c>
      <c r="J104" s="17">
        <f t="shared" si="33"/>
        <v>700</v>
      </c>
      <c r="K104" s="34"/>
      <c r="L104" s="17">
        <f t="shared" si="46"/>
        <v>0</v>
      </c>
      <c r="M104" s="12"/>
      <c r="N104" s="17">
        <f t="shared" si="47"/>
        <v>0</v>
      </c>
      <c r="O104" s="12"/>
      <c r="P104" s="17">
        <f t="shared" si="48"/>
        <v>0</v>
      </c>
      <c r="Q104" s="12">
        <f t="shared" si="49"/>
        <v>31</v>
      </c>
      <c r="R104" s="12">
        <v>200</v>
      </c>
      <c r="S104" s="17">
        <f t="shared" si="44"/>
        <v>200</v>
      </c>
      <c r="T104" s="12">
        <v>0</v>
      </c>
      <c r="U104" s="12">
        <v>0</v>
      </c>
      <c r="V104" s="12">
        <v>0</v>
      </c>
      <c r="W104" s="12">
        <v>0</v>
      </c>
      <c r="X104" s="17">
        <f t="shared" si="50"/>
        <v>900</v>
      </c>
      <c r="Y104" s="12"/>
      <c r="Z104" s="19"/>
      <c r="AA104" s="17">
        <v>900</v>
      </c>
      <c r="AB104" s="20">
        <f t="shared" si="42"/>
        <v>0</v>
      </c>
      <c r="AC104" s="20">
        <f t="shared" si="43"/>
        <v>870</v>
      </c>
      <c r="AD104" s="20">
        <f t="shared" si="51"/>
        <v>30</v>
      </c>
      <c r="AE104" s="17">
        <f>VLOOKUP(B104,[2]Sheet1!$B$4:$J$188,9,0)</f>
        <v>870</v>
      </c>
      <c r="AF104" s="20">
        <f t="shared" si="52"/>
        <v>30</v>
      </c>
      <c r="AG104" s="21" t="str">
        <f>VLOOKUP(B104,'[3]MASTER -COLOR CODE'!$B$6:$C$337,2,0)</f>
        <v>JOGENDRA YADAV RAMPRIT YADAV</v>
      </c>
      <c r="AH104" s="21"/>
    </row>
    <row r="105" spans="1:34" s="22" customFormat="1" x14ac:dyDescent="0.25">
      <c r="A105" s="12">
        <v>104</v>
      </c>
      <c r="B105" s="13" t="s">
        <v>234</v>
      </c>
      <c r="C105" s="67" t="s">
        <v>235</v>
      </c>
      <c r="D105" s="15"/>
      <c r="E105" s="16">
        <v>900</v>
      </c>
      <c r="F105" s="17">
        <v>700</v>
      </c>
      <c r="G105" s="12">
        <v>31</v>
      </c>
      <c r="H105" s="12">
        <v>0</v>
      </c>
      <c r="I105" s="18">
        <f t="shared" si="45"/>
        <v>31</v>
      </c>
      <c r="J105" s="17">
        <f t="shared" si="33"/>
        <v>700</v>
      </c>
      <c r="K105" s="34"/>
      <c r="L105" s="17">
        <f t="shared" si="46"/>
        <v>0</v>
      </c>
      <c r="M105" s="12"/>
      <c r="N105" s="17">
        <f t="shared" si="47"/>
        <v>0</v>
      </c>
      <c r="O105" s="12"/>
      <c r="P105" s="17">
        <f t="shared" si="48"/>
        <v>0</v>
      </c>
      <c r="Q105" s="12">
        <f t="shared" si="49"/>
        <v>31</v>
      </c>
      <c r="R105" s="12">
        <v>200</v>
      </c>
      <c r="S105" s="17">
        <f t="shared" si="44"/>
        <v>200</v>
      </c>
      <c r="T105" s="12">
        <v>0</v>
      </c>
      <c r="U105" s="12">
        <v>0</v>
      </c>
      <c r="V105" s="12">
        <v>0</v>
      </c>
      <c r="W105" s="12">
        <v>0</v>
      </c>
      <c r="X105" s="17">
        <f t="shared" si="50"/>
        <v>900</v>
      </c>
      <c r="Y105" s="12"/>
      <c r="Z105" s="19"/>
      <c r="AA105" s="17">
        <v>900</v>
      </c>
      <c r="AB105" s="20">
        <f t="shared" si="42"/>
        <v>0</v>
      </c>
      <c r="AC105" s="20">
        <f t="shared" si="43"/>
        <v>360</v>
      </c>
      <c r="AD105" s="20">
        <f t="shared" si="51"/>
        <v>540</v>
      </c>
      <c r="AE105" s="17">
        <f>VLOOKUP(B105,[2]Sheet1!$B$4:$J$188,9,0)</f>
        <v>360</v>
      </c>
      <c r="AF105" s="20">
        <f t="shared" si="52"/>
        <v>540</v>
      </c>
      <c r="AG105" s="21" t="str">
        <f>VLOOKUP(B105,'[3]MASTER -COLOR CODE'!$B$6:$C$337,2,0)</f>
        <v>BHUBAN BK SETE KAMI</v>
      </c>
      <c r="AH105" s="21"/>
    </row>
    <row r="106" spans="1:34" s="22" customFormat="1" x14ac:dyDescent="0.25">
      <c r="A106" s="12">
        <v>105</v>
      </c>
      <c r="B106" s="13" t="s">
        <v>236</v>
      </c>
      <c r="C106" s="67" t="s">
        <v>237</v>
      </c>
      <c r="D106" s="15"/>
      <c r="E106" s="16">
        <v>900</v>
      </c>
      <c r="F106" s="17">
        <v>700</v>
      </c>
      <c r="G106" s="12">
        <v>31</v>
      </c>
      <c r="H106" s="12">
        <v>0</v>
      </c>
      <c r="I106" s="18">
        <f t="shared" si="45"/>
        <v>31</v>
      </c>
      <c r="J106" s="17">
        <f t="shared" si="33"/>
        <v>700</v>
      </c>
      <c r="K106" s="34"/>
      <c r="L106" s="17">
        <f t="shared" si="46"/>
        <v>0</v>
      </c>
      <c r="M106" s="12"/>
      <c r="N106" s="17">
        <f t="shared" si="47"/>
        <v>0</v>
      </c>
      <c r="O106" s="12"/>
      <c r="P106" s="17">
        <f t="shared" si="48"/>
        <v>0</v>
      </c>
      <c r="Q106" s="12">
        <f t="shared" si="49"/>
        <v>31</v>
      </c>
      <c r="R106" s="12">
        <v>200</v>
      </c>
      <c r="S106" s="17">
        <f t="shared" si="44"/>
        <v>200</v>
      </c>
      <c r="T106" s="12">
        <v>0</v>
      </c>
      <c r="U106" s="12">
        <v>0</v>
      </c>
      <c r="V106" s="12">
        <v>0</v>
      </c>
      <c r="W106" s="12">
        <v>0</v>
      </c>
      <c r="X106" s="17">
        <f t="shared" si="50"/>
        <v>900</v>
      </c>
      <c r="Y106" s="12"/>
      <c r="Z106" s="19"/>
      <c r="AA106" s="17">
        <v>900</v>
      </c>
      <c r="AB106" s="20">
        <f t="shared" ref="AB106:AB134" si="53">X106-AA106</f>
        <v>0</v>
      </c>
      <c r="AC106" s="20">
        <f t="shared" ref="AC106:AC135" si="54">AE106+AB106</f>
        <v>360</v>
      </c>
      <c r="AD106" s="20">
        <f t="shared" si="51"/>
        <v>540</v>
      </c>
      <c r="AE106" s="17">
        <f>VLOOKUP(B106,[2]Sheet1!$B$4:$J$188,9,0)</f>
        <v>360</v>
      </c>
      <c r="AF106" s="20">
        <f t="shared" si="52"/>
        <v>540</v>
      </c>
      <c r="AG106" s="21" t="str">
        <f>VLOOKUP(B106,'[3]MASTER -COLOR CODE'!$B$6:$C$337,2,0)</f>
        <v>GURU SHARAN MAHATO</v>
      </c>
      <c r="AH106" s="21"/>
    </row>
    <row r="107" spans="1:34" s="22" customFormat="1" x14ac:dyDescent="0.25">
      <c r="A107" s="12">
        <v>106</v>
      </c>
      <c r="B107" s="13" t="s">
        <v>238</v>
      </c>
      <c r="C107" s="67" t="s">
        <v>239</v>
      </c>
      <c r="D107" s="15"/>
      <c r="E107" s="16">
        <v>900</v>
      </c>
      <c r="F107" s="17">
        <v>700</v>
      </c>
      <c r="G107" s="12">
        <v>31</v>
      </c>
      <c r="H107" s="12">
        <v>0</v>
      </c>
      <c r="I107" s="18">
        <f t="shared" si="45"/>
        <v>31</v>
      </c>
      <c r="J107" s="17">
        <f t="shared" si="33"/>
        <v>700</v>
      </c>
      <c r="K107" s="34"/>
      <c r="L107" s="17">
        <f t="shared" si="46"/>
        <v>0</v>
      </c>
      <c r="M107" s="12"/>
      <c r="N107" s="17">
        <f t="shared" si="47"/>
        <v>0</v>
      </c>
      <c r="O107" s="12"/>
      <c r="P107" s="17">
        <f t="shared" si="48"/>
        <v>0</v>
      </c>
      <c r="Q107" s="12">
        <f t="shared" si="49"/>
        <v>31</v>
      </c>
      <c r="R107" s="12">
        <v>200</v>
      </c>
      <c r="S107" s="17">
        <f t="shared" si="44"/>
        <v>200</v>
      </c>
      <c r="T107" s="12">
        <v>0</v>
      </c>
      <c r="U107" s="12">
        <v>0</v>
      </c>
      <c r="V107" s="12">
        <v>0</v>
      </c>
      <c r="W107" s="12">
        <v>0</v>
      </c>
      <c r="X107" s="17">
        <f t="shared" si="50"/>
        <v>900</v>
      </c>
      <c r="Y107" s="12"/>
      <c r="Z107" s="19"/>
      <c r="AA107" s="17">
        <v>900</v>
      </c>
      <c r="AB107" s="20">
        <f t="shared" si="53"/>
        <v>0</v>
      </c>
      <c r="AC107" s="20">
        <f t="shared" si="54"/>
        <v>720</v>
      </c>
      <c r="AD107" s="20">
        <f t="shared" si="51"/>
        <v>180</v>
      </c>
      <c r="AE107" s="17">
        <f>VLOOKUP(B107,[2]Sheet1!$B$4:$J$188,9,0)</f>
        <v>720</v>
      </c>
      <c r="AF107" s="20">
        <f t="shared" si="52"/>
        <v>180</v>
      </c>
      <c r="AG107" s="21" t="str">
        <f>VLOOKUP(B107,'[3]MASTER -COLOR CODE'!$B$6:$C$337,2,0)</f>
        <v>AMINDRA MAJHI MUSHAR</v>
      </c>
      <c r="AH107" s="21"/>
    </row>
    <row r="108" spans="1:34" s="22" customFormat="1" x14ac:dyDescent="0.25">
      <c r="A108" s="12">
        <v>107</v>
      </c>
      <c r="B108" s="13" t="s">
        <v>240</v>
      </c>
      <c r="C108" s="67" t="s">
        <v>241</v>
      </c>
      <c r="D108" s="15"/>
      <c r="E108" s="16">
        <v>900</v>
      </c>
      <c r="F108" s="17">
        <v>700</v>
      </c>
      <c r="G108" s="12">
        <v>31</v>
      </c>
      <c r="H108" s="12">
        <v>1</v>
      </c>
      <c r="I108" s="18">
        <f t="shared" si="45"/>
        <v>30</v>
      </c>
      <c r="J108" s="17">
        <f t="shared" si="33"/>
        <v>677.41935483870975</v>
      </c>
      <c r="K108" s="34"/>
      <c r="L108" s="17">
        <f t="shared" si="46"/>
        <v>0</v>
      </c>
      <c r="M108" s="12"/>
      <c r="N108" s="17">
        <f t="shared" si="47"/>
        <v>0</v>
      </c>
      <c r="O108" s="12"/>
      <c r="P108" s="17">
        <f t="shared" si="48"/>
        <v>0</v>
      </c>
      <c r="Q108" s="12">
        <f t="shared" si="49"/>
        <v>30</v>
      </c>
      <c r="R108" s="12">
        <v>200</v>
      </c>
      <c r="S108" s="17">
        <f t="shared" si="44"/>
        <v>193.54838709677418</v>
      </c>
      <c r="T108" s="12">
        <v>0</v>
      </c>
      <c r="U108" s="12">
        <v>0</v>
      </c>
      <c r="V108" s="12">
        <v>0</v>
      </c>
      <c r="W108" s="12">
        <v>0</v>
      </c>
      <c r="X108" s="17">
        <f t="shared" si="50"/>
        <v>870.9677419354839</v>
      </c>
      <c r="Y108" s="12"/>
      <c r="Z108" s="19"/>
      <c r="AA108" s="17">
        <v>871</v>
      </c>
      <c r="AB108" s="20">
        <f t="shared" si="53"/>
        <v>-3.2258064516099694E-2</v>
      </c>
      <c r="AC108" s="20">
        <f t="shared" si="54"/>
        <v>899.9677419354839</v>
      </c>
      <c r="AD108" s="20">
        <f t="shared" si="51"/>
        <v>-29</v>
      </c>
      <c r="AE108" s="17">
        <f>VLOOKUP(B108,[2]Sheet1!$B$4:$J$188,9,0)</f>
        <v>900</v>
      </c>
      <c r="AF108" s="20">
        <f t="shared" si="52"/>
        <v>-29.0322580645161</v>
      </c>
      <c r="AG108" s="21" t="str">
        <f>VLOOKUP(B108,'[3]MASTER -COLOR CODE'!$B$6:$C$337,2,0)</f>
        <v>PRAMOD SAHNI RAUDI SAHNI</v>
      </c>
      <c r="AH108" s="21"/>
    </row>
    <row r="109" spans="1:34" s="22" customFormat="1" x14ac:dyDescent="0.25">
      <c r="A109" s="12">
        <v>108</v>
      </c>
      <c r="B109" s="13" t="s">
        <v>242</v>
      </c>
      <c r="C109" s="67" t="s">
        <v>243</v>
      </c>
      <c r="D109" s="15"/>
      <c r="E109" s="16">
        <v>900</v>
      </c>
      <c r="F109" s="17">
        <v>700</v>
      </c>
      <c r="G109" s="12">
        <v>31</v>
      </c>
      <c r="H109" s="12">
        <v>0</v>
      </c>
      <c r="I109" s="18">
        <f t="shared" si="45"/>
        <v>31</v>
      </c>
      <c r="J109" s="17">
        <f t="shared" si="33"/>
        <v>700</v>
      </c>
      <c r="K109" s="34"/>
      <c r="L109" s="17">
        <f t="shared" si="46"/>
        <v>0</v>
      </c>
      <c r="M109" s="12"/>
      <c r="N109" s="17">
        <f t="shared" si="47"/>
        <v>0</v>
      </c>
      <c r="O109" s="12"/>
      <c r="P109" s="17">
        <f t="shared" si="48"/>
        <v>0</v>
      </c>
      <c r="Q109" s="12">
        <f t="shared" si="49"/>
        <v>31</v>
      </c>
      <c r="R109" s="12">
        <v>200</v>
      </c>
      <c r="S109" s="17">
        <f t="shared" si="44"/>
        <v>200</v>
      </c>
      <c r="T109" s="12">
        <v>0</v>
      </c>
      <c r="U109" s="12">
        <v>0</v>
      </c>
      <c r="V109" s="12">
        <v>0</v>
      </c>
      <c r="W109" s="12">
        <v>0</v>
      </c>
      <c r="X109" s="17">
        <f t="shared" si="50"/>
        <v>900</v>
      </c>
      <c r="Y109" s="12"/>
      <c r="Z109" s="19"/>
      <c r="AA109" s="17">
        <v>900</v>
      </c>
      <c r="AB109" s="20">
        <f t="shared" si="53"/>
        <v>0</v>
      </c>
      <c r="AC109" s="20">
        <f t="shared" si="54"/>
        <v>300</v>
      </c>
      <c r="AD109" s="20">
        <f t="shared" si="51"/>
        <v>600</v>
      </c>
      <c r="AE109" s="17">
        <f>VLOOKUP(B109,[2]Sheet1!$B$4:$J$188,9,0)</f>
        <v>300</v>
      </c>
      <c r="AF109" s="20">
        <f t="shared" si="52"/>
        <v>600</v>
      </c>
      <c r="AG109" s="21" t="str">
        <f>VLOOKUP(B109,'[3]MASTER -COLOR CODE'!$B$6:$C$337,2,0)</f>
        <v>SUMAN B K SETE KAMI</v>
      </c>
      <c r="AH109" s="21"/>
    </row>
    <row r="110" spans="1:34" s="22" customFormat="1" x14ac:dyDescent="0.25">
      <c r="A110" s="12">
        <v>109</v>
      </c>
      <c r="B110" s="13" t="s">
        <v>244</v>
      </c>
      <c r="C110" s="67" t="s">
        <v>245</v>
      </c>
      <c r="D110" s="15"/>
      <c r="E110" s="16">
        <v>900</v>
      </c>
      <c r="F110" s="17">
        <v>700</v>
      </c>
      <c r="G110" s="12">
        <v>31</v>
      </c>
      <c r="H110" s="12">
        <v>0</v>
      </c>
      <c r="I110" s="18">
        <f t="shared" si="45"/>
        <v>31</v>
      </c>
      <c r="J110" s="17">
        <f t="shared" si="33"/>
        <v>700</v>
      </c>
      <c r="K110" s="34"/>
      <c r="L110" s="17">
        <f t="shared" si="46"/>
        <v>0</v>
      </c>
      <c r="M110" s="12"/>
      <c r="N110" s="17">
        <f t="shared" si="47"/>
        <v>0</v>
      </c>
      <c r="O110" s="12"/>
      <c r="P110" s="17">
        <f t="shared" si="48"/>
        <v>0</v>
      </c>
      <c r="Q110" s="12">
        <f t="shared" si="49"/>
        <v>31</v>
      </c>
      <c r="R110" s="12">
        <v>200</v>
      </c>
      <c r="S110" s="17">
        <f t="shared" si="44"/>
        <v>200</v>
      </c>
      <c r="T110" s="12">
        <v>0</v>
      </c>
      <c r="U110" s="12">
        <v>0</v>
      </c>
      <c r="V110" s="12">
        <v>0</v>
      </c>
      <c r="W110" s="12">
        <v>0</v>
      </c>
      <c r="X110" s="17">
        <f t="shared" si="50"/>
        <v>900</v>
      </c>
      <c r="Y110" s="12"/>
      <c r="Z110" s="19"/>
      <c r="AA110" s="17">
        <v>900</v>
      </c>
      <c r="AB110" s="20">
        <f t="shared" si="53"/>
        <v>0</v>
      </c>
      <c r="AC110" s="20">
        <f t="shared" si="54"/>
        <v>900</v>
      </c>
      <c r="AD110" s="20">
        <f t="shared" si="51"/>
        <v>0</v>
      </c>
      <c r="AE110" s="17">
        <f>VLOOKUP(B110,[2]Sheet1!$B$4:$J$188,9,0)</f>
        <v>900</v>
      </c>
      <c r="AF110" s="20">
        <f t="shared" si="52"/>
        <v>0</v>
      </c>
      <c r="AG110" s="21" t="str">
        <f>VLOOKUP(B110,'[3]MASTER -COLOR CODE'!$B$6:$C$337,2,0)</f>
        <v>RAJARAM SADA INDRE SADA</v>
      </c>
      <c r="AH110" s="21"/>
    </row>
    <row r="111" spans="1:34" s="22" customFormat="1" x14ac:dyDescent="0.25">
      <c r="A111" s="12">
        <v>110</v>
      </c>
      <c r="B111" s="13" t="s">
        <v>246</v>
      </c>
      <c r="C111" s="67" t="s">
        <v>247</v>
      </c>
      <c r="D111" s="15"/>
      <c r="E111" s="16">
        <v>900</v>
      </c>
      <c r="F111" s="17">
        <v>700</v>
      </c>
      <c r="G111" s="12">
        <v>31</v>
      </c>
      <c r="H111" s="12">
        <v>0</v>
      </c>
      <c r="I111" s="18">
        <f t="shared" si="45"/>
        <v>31</v>
      </c>
      <c r="J111" s="17">
        <f t="shared" si="33"/>
        <v>700</v>
      </c>
      <c r="K111" s="34"/>
      <c r="L111" s="17">
        <f t="shared" si="46"/>
        <v>0</v>
      </c>
      <c r="M111" s="12"/>
      <c r="N111" s="17">
        <f t="shared" si="47"/>
        <v>0</v>
      </c>
      <c r="O111" s="12"/>
      <c r="P111" s="17">
        <f t="shared" si="48"/>
        <v>0</v>
      </c>
      <c r="Q111" s="12">
        <f t="shared" si="49"/>
        <v>31</v>
      </c>
      <c r="R111" s="12">
        <v>0</v>
      </c>
      <c r="S111" s="17">
        <f t="shared" si="44"/>
        <v>0</v>
      </c>
      <c r="T111" s="12">
        <v>0</v>
      </c>
      <c r="U111" s="12">
        <v>0</v>
      </c>
      <c r="V111" s="12">
        <v>0</v>
      </c>
      <c r="W111" s="12">
        <v>0</v>
      </c>
      <c r="X111" s="17">
        <f t="shared" si="50"/>
        <v>700</v>
      </c>
      <c r="Y111" s="12"/>
      <c r="Z111" s="19"/>
      <c r="AA111" s="17">
        <v>900</v>
      </c>
      <c r="AB111" s="20">
        <f t="shared" si="53"/>
        <v>-200</v>
      </c>
      <c r="AC111" s="20">
        <f t="shared" si="54"/>
        <v>520</v>
      </c>
      <c r="AD111" s="20">
        <f t="shared" si="51"/>
        <v>180</v>
      </c>
      <c r="AE111" s="17">
        <f>VLOOKUP(B111,[2]Sheet1!$B$4:$J$188,9,0)</f>
        <v>720</v>
      </c>
      <c r="AF111" s="20">
        <f t="shared" si="52"/>
        <v>-20</v>
      </c>
      <c r="AG111" s="21" t="str">
        <f>VLOOKUP(B111,'[3]MASTER -COLOR CODE'!$B$6:$C$337,2,0)</f>
        <v xml:space="preserve">RAM KUMAR MAHARA SAUKHIYA </v>
      </c>
      <c r="AH111" s="21"/>
    </row>
    <row r="112" spans="1:34" s="22" customFormat="1" ht="16.5" customHeight="1" x14ac:dyDescent="0.25">
      <c r="A112" s="12">
        <v>111</v>
      </c>
      <c r="B112" s="13" t="s">
        <v>248</v>
      </c>
      <c r="C112" s="67" t="s">
        <v>249</v>
      </c>
      <c r="D112" s="15"/>
      <c r="E112" s="16">
        <v>900</v>
      </c>
      <c r="F112" s="17">
        <v>700</v>
      </c>
      <c r="G112" s="12">
        <v>31</v>
      </c>
      <c r="H112" s="12">
        <v>0</v>
      </c>
      <c r="I112" s="18">
        <f t="shared" si="45"/>
        <v>31</v>
      </c>
      <c r="J112" s="17">
        <f t="shared" si="33"/>
        <v>700</v>
      </c>
      <c r="K112" s="34"/>
      <c r="L112" s="17">
        <f t="shared" si="46"/>
        <v>0</v>
      </c>
      <c r="M112" s="12"/>
      <c r="N112" s="17">
        <f t="shared" si="47"/>
        <v>0</v>
      </c>
      <c r="O112" s="12"/>
      <c r="P112" s="17">
        <f t="shared" si="48"/>
        <v>0</v>
      </c>
      <c r="Q112" s="12">
        <f t="shared" si="49"/>
        <v>31</v>
      </c>
      <c r="R112" s="12">
        <v>200</v>
      </c>
      <c r="S112" s="17">
        <f t="shared" si="44"/>
        <v>200</v>
      </c>
      <c r="T112" s="12">
        <v>0</v>
      </c>
      <c r="U112" s="12">
        <v>0</v>
      </c>
      <c r="V112" s="12">
        <v>0</v>
      </c>
      <c r="W112" s="12">
        <v>0</v>
      </c>
      <c r="X112" s="17">
        <f t="shared" si="50"/>
        <v>900</v>
      </c>
      <c r="Y112" s="12"/>
      <c r="Z112" s="19"/>
      <c r="AA112" s="17">
        <v>900</v>
      </c>
      <c r="AB112" s="20">
        <f t="shared" si="53"/>
        <v>0</v>
      </c>
      <c r="AC112" s="20">
        <f t="shared" si="54"/>
        <v>900</v>
      </c>
      <c r="AD112" s="20">
        <f t="shared" si="51"/>
        <v>0</v>
      </c>
      <c r="AE112" s="17">
        <f>VLOOKUP(B112,[2]Sheet1!$B$4:$J$188,9,0)</f>
        <v>900</v>
      </c>
      <c r="AF112" s="20">
        <f t="shared" si="52"/>
        <v>0</v>
      </c>
      <c r="AG112" s="21" t="str">
        <f>VLOOKUP(B112,'[3]MASTER -COLOR CODE'!$B$6:$C$337,2,0)</f>
        <v>Indra Paija Pun Khumbahadur paija pun</v>
      </c>
      <c r="AH112" s="21"/>
    </row>
    <row r="113" spans="1:34" s="22" customFormat="1" x14ac:dyDescent="0.25">
      <c r="A113" s="12">
        <v>112</v>
      </c>
      <c r="B113" s="13" t="s">
        <v>250</v>
      </c>
      <c r="C113" s="67" t="s">
        <v>251</v>
      </c>
      <c r="D113" s="15"/>
      <c r="E113" s="16">
        <v>900</v>
      </c>
      <c r="F113" s="17">
        <v>700</v>
      </c>
      <c r="G113" s="12">
        <v>31</v>
      </c>
      <c r="H113" s="12">
        <v>0</v>
      </c>
      <c r="I113" s="18">
        <f t="shared" si="45"/>
        <v>31</v>
      </c>
      <c r="J113" s="17">
        <f t="shared" si="33"/>
        <v>700</v>
      </c>
      <c r="K113" s="34"/>
      <c r="L113" s="17">
        <f t="shared" si="46"/>
        <v>0</v>
      </c>
      <c r="M113" s="12"/>
      <c r="N113" s="17">
        <f t="shared" si="47"/>
        <v>0</v>
      </c>
      <c r="O113" s="12"/>
      <c r="P113" s="17">
        <f t="shared" si="48"/>
        <v>0</v>
      </c>
      <c r="Q113" s="12">
        <v>7</v>
      </c>
      <c r="R113" s="12">
        <v>200</v>
      </c>
      <c r="S113" s="17">
        <f t="shared" si="44"/>
        <v>45.161290322580641</v>
      </c>
      <c r="T113" s="12">
        <v>0</v>
      </c>
      <c r="U113" s="12">
        <v>0</v>
      </c>
      <c r="V113" s="12">
        <v>0</v>
      </c>
      <c r="W113" s="12">
        <v>0</v>
      </c>
      <c r="X113" s="17">
        <f t="shared" si="50"/>
        <v>745.16129032258061</v>
      </c>
      <c r="Y113" s="12"/>
      <c r="Z113" s="19"/>
      <c r="AA113" s="17">
        <v>900</v>
      </c>
      <c r="AB113" s="20">
        <f t="shared" si="53"/>
        <v>-154.83870967741939</v>
      </c>
      <c r="AC113" s="20">
        <f t="shared" si="54"/>
        <v>565.16129032258061</v>
      </c>
      <c r="AD113" s="20">
        <f t="shared" si="51"/>
        <v>180</v>
      </c>
      <c r="AE113" s="17">
        <f>VLOOKUP(B113,[2]Sheet1!$B$4:$J$188,9,0)</f>
        <v>720</v>
      </c>
      <c r="AF113" s="20">
        <f t="shared" si="52"/>
        <v>25.161290322580612</v>
      </c>
      <c r="AG113" s="21" t="str">
        <f>VLOOKUP(B113,'[3]MASTER -COLOR CODE'!$B$6:$C$337,2,0)</f>
        <v>Debu Pun Jim Bahadur Pun</v>
      </c>
      <c r="AH113" s="21"/>
    </row>
    <row r="114" spans="1:34" s="22" customFormat="1" x14ac:dyDescent="0.25">
      <c r="A114" s="12">
        <v>113</v>
      </c>
      <c r="B114" s="13" t="s">
        <v>252</v>
      </c>
      <c r="C114" s="67" t="s">
        <v>253</v>
      </c>
      <c r="D114" s="15"/>
      <c r="E114" s="16">
        <v>900</v>
      </c>
      <c r="F114" s="17">
        <v>700</v>
      </c>
      <c r="G114" s="12">
        <v>31</v>
      </c>
      <c r="H114" s="12">
        <v>0</v>
      </c>
      <c r="I114" s="18">
        <f t="shared" si="45"/>
        <v>31</v>
      </c>
      <c r="J114" s="17">
        <f t="shared" si="33"/>
        <v>700</v>
      </c>
      <c r="K114" s="34"/>
      <c r="L114" s="17">
        <f t="shared" si="46"/>
        <v>0</v>
      </c>
      <c r="M114" s="12"/>
      <c r="N114" s="17">
        <f t="shared" si="47"/>
        <v>0</v>
      </c>
      <c r="O114" s="12"/>
      <c r="P114" s="17">
        <f t="shared" si="48"/>
        <v>0</v>
      </c>
      <c r="Q114" s="12">
        <f t="shared" ref="Q114:Q158" si="55">I114</f>
        <v>31</v>
      </c>
      <c r="R114" s="12">
        <v>0</v>
      </c>
      <c r="S114" s="17">
        <f t="shared" si="44"/>
        <v>0</v>
      </c>
      <c r="T114" s="12">
        <v>0</v>
      </c>
      <c r="U114" s="12">
        <v>0</v>
      </c>
      <c r="V114" s="12">
        <v>0</v>
      </c>
      <c r="W114" s="12">
        <v>0</v>
      </c>
      <c r="X114" s="17">
        <f t="shared" si="50"/>
        <v>700</v>
      </c>
      <c r="Y114" s="12"/>
      <c r="Z114" s="19"/>
      <c r="AA114" s="17">
        <v>900</v>
      </c>
      <c r="AB114" s="20">
        <f t="shared" si="53"/>
        <v>-200</v>
      </c>
      <c r="AC114" s="20">
        <f t="shared" si="54"/>
        <v>520</v>
      </c>
      <c r="AD114" s="20">
        <f t="shared" si="51"/>
        <v>180</v>
      </c>
      <c r="AE114" s="17">
        <f>VLOOKUP(B114,[2]Sheet1!$B$4:$J$188,9,0)</f>
        <v>720</v>
      </c>
      <c r="AF114" s="20">
        <f t="shared" si="52"/>
        <v>-20</v>
      </c>
      <c r="AG114" s="21" t="str">
        <f>VLOOKUP(B114,'[3]MASTER -COLOR CODE'!$B$6:$C$337,2,0)</f>
        <v>Anamol BK Chhabilal BK</v>
      </c>
      <c r="AH114" s="21"/>
    </row>
    <row r="115" spans="1:34" s="22" customFormat="1" x14ac:dyDescent="0.25">
      <c r="A115" s="12">
        <v>114</v>
      </c>
      <c r="B115" s="13" t="s">
        <v>254</v>
      </c>
      <c r="C115" s="14" t="s">
        <v>255</v>
      </c>
      <c r="D115" s="15"/>
      <c r="E115" s="16"/>
      <c r="F115" s="17">
        <v>700</v>
      </c>
      <c r="G115" s="12">
        <v>31</v>
      </c>
      <c r="H115" s="12">
        <v>0</v>
      </c>
      <c r="I115" s="18">
        <f t="shared" si="45"/>
        <v>31</v>
      </c>
      <c r="J115" s="17">
        <f t="shared" si="33"/>
        <v>700</v>
      </c>
      <c r="K115" s="34"/>
      <c r="L115" s="17">
        <f t="shared" si="46"/>
        <v>0</v>
      </c>
      <c r="M115" s="12"/>
      <c r="N115" s="17">
        <f t="shared" si="47"/>
        <v>0</v>
      </c>
      <c r="O115" s="12"/>
      <c r="P115" s="17">
        <f t="shared" si="48"/>
        <v>0</v>
      </c>
      <c r="Q115" s="12">
        <f t="shared" si="55"/>
        <v>31</v>
      </c>
      <c r="R115" s="12">
        <v>200</v>
      </c>
      <c r="S115" s="17">
        <f t="shared" si="44"/>
        <v>200</v>
      </c>
      <c r="T115" s="12">
        <v>0</v>
      </c>
      <c r="U115" s="12">
        <v>0</v>
      </c>
      <c r="V115" s="12">
        <v>0</v>
      </c>
      <c r="W115" s="12">
        <v>0</v>
      </c>
      <c r="X115" s="17">
        <f t="shared" si="50"/>
        <v>900</v>
      </c>
      <c r="Y115" s="12"/>
      <c r="Z115" s="19"/>
      <c r="AA115" s="17">
        <f t="shared" si="39"/>
        <v>700</v>
      </c>
      <c r="AB115" s="20">
        <f t="shared" si="53"/>
        <v>200</v>
      </c>
      <c r="AC115" s="20">
        <f t="shared" si="54"/>
        <v>877</v>
      </c>
      <c r="AD115" s="20">
        <f t="shared" si="51"/>
        <v>23</v>
      </c>
      <c r="AE115" s="17">
        <f>VLOOKUP(B115,[2]Sheet1!$B$4:$J$188,9,0)</f>
        <v>677</v>
      </c>
      <c r="AF115" s="20">
        <f t="shared" si="52"/>
        <v>223</v>
      </c>
      <c r="AG115" s="21" t="str">
        <f>VLOOKUP(B115,'[3]MASTER -COLOR CODE'!$B$6:$C$337,2,0)</f>
        <v>MD RAIHAN MD MANJO MIAH</v>
      </c>
      <c r="AH115" s="21"/>
    </row>
    <row r="116" spans="1:34" s="63" customFormat="1" x14ac:dyDescent="0.25">
      <c r="A116" s="53">
        <v>115</v>
      </c>
      <c r="B116" s="54" t="s">
        <v>256</v>
      </c>
      <c r="C116" s="55" t="s">
        <v>257</v>
      </c>
      <c r="D116" s="56"/>
      <c r="E116" s="57"/>
      <c r="F116" s="58">
        <v>700</v>
      </c>
      <c r="G116" s="53">
        <v>31</v>
      </c>
      <c r="H116" s="53">
        <v>27</v>
      </c>
      <c r="I116" s="59">
        <f t="shared" si="45"/>
        <v>4</v>
      </c>
      <c r="J116" s="58">
        <f t="shared" si="33"/>
        <v>90.322580645161295</v>
      </c>
      <c r="K116" s="53"/>
      <c r="L116" s="58">
        <f t="shared" si="46"/>
        <v>0</v>
      </c>
      <c r="M116" s="53"/>
      <c r="N116" s="58">
        <f t="shared" si="47"/>
        <v>0</v>
      </c>
      <c r="O116" s="53"/>
      <c r="P116" s="58">
        <f t="shared" si="48"/>
        <v>0</v>
      </c>
      <c r="Q116" s="53">
        <f t="shared" si="55"/>
        <v>4</v>
      </c>
      <c r="R116" s="53">
        <v>200</v>
      </c>
      <c r="S116" s="58">
        <f t="shared" ref="S116:S124" si="56">R116/G116*Q116</f>
        <v>25.806451612903224</v>
      </c>
      <c r="T116" s="53">
        <v>0</v>
      </c>
      <c r="U116" s="53">
        <v>0</v>
      </c>
      <c r="V116" s="53">
        <v>0</v>
      </c>
      <c r="W116" s="53">
        <v>0</v>
      </c>
      <c r="X116" s="58">
        <f t="shared" si="50"/>
        <v>116.12903225806451</v>
      </c>
      <c r="Y116" s="53"/>
      <c r="Z116" s="60"/>
      <c r="AA116" s="58">
        <f t="shared" si="39"/>
        <v>90.322580645161295</v>
      </c>
      <c r="AB116" s="61">
        <f t="shared" si="53"/>
        <v>25.806451612903217</v>
      </c>
      <c r="AC116" s="61">
        <f t="shared" si="54"/>
        <v>725.80645161290317</v>
      </c>
      <c r="AD116" s="61">
        <f t="shared" si="51"/>
        <v>-609.67741935483866</v>
      </c>
      <c r="AE116" s="58">
        <f>VLOOKUP(B116,[2]Sheet1!$B$4:$J$188,9,0)</f>
        <v>700</v>
      </c>
      <c r="AF116" s="61">
        <f t="shared" si="52"/>
        <v>-583.87096774193549</v>
      </c>
      <c r="AG116" s="62" t="str">
        <f>VLOOKUP(B116,'[3]MASTER -COLOR CODE'!$B$6:$C$337,2,0)</f>
        <v>SHAJU MIAH MD MAHMUD ALI</v>
      </c>
      <c r="AH116" s="62"/>
    </row>
    <row r="117" spans="1:34" s="22" customFormat="1" x14ac:dyDescent="0.25">
      <c r="A117" s="12">
        <v>116</v>
      </c>
      <c r="B117" s="13" t="s">
        <v>258</v>
      </c>
      <c r="C117" s="14" t="s">
        <v>259</v>
      </c>
      <c r="D117" s="15"/>
      <c r="E117" s="16"/>
      <c r="F117" s="17">
        <v>700</v>
      </c>
      <c r="G117" s="12">
        <v>31</v>
      </c>
      <c r="H117" s="12">
        <v>0</v>
      </c>
      <c r="I117" s="18">
        <f t="shared" si="45"/>
        <v>31</v>
      </c>
      <c r="J117" s="17">
        <f t="shared" si="33"/>
        <v>700</v>
      </c>
      <c r="K117" s="34"/>
      <c r="L117" s="17">
        <f t="shared" si="46"/>
        <v>0</v>
      </c>
      <c r="M117" s="12"/>
      <c r="N117" s="17">
        <f t="shared" si="47"/>
        <v>0</v>
      </c>
      <c r="O117" s="12"/>
      <c r="P117" s="17">
        <f t="shared" si="48"/>
        <v>0</v>
      </c>
      <c r="Q117" s="12">
        <f t="shared" si="55"/>
        <v>31</v>
      </c>
      <c r="R117" s="12">
        <v>200</v>
      </c>
      <c r="S117" s="17">
        <f t="shared" si="56"/>
        <v>200</v>
      </c>
      <c r="T117" s="12">
        <v>0</v>
      </c>
      <c r="U117" s="12">
        <v>0</v>
      </c>
      <c r="V117" s="12">
        <v>0</v>
      </c>
      <c r="W117" s="12">
        <v>0</v>
      </c>
      <c r="X117" s="17">
        <f t="shared" si="50"/>
        <v>900</v>
      </c>
      <c r="Y117" s="12"/>
      <c r="Z117" s="19"/>
      <c r="AA117" s="17">
        <f t="shared" si="39"/>
        <v>700</v>
      </c>
      <c r="AB117" s="20">
        <f t="shared" si="53"/>
        <v>200</v>
      </c>
      <c r="AC117" s="20">
        <f t="shared" si="54"/>
        <v>853</v>
      </c>
      <c r="AD117" s="20">
        <f t="shared" si="51"/>
        <v>47</v>
      </c>
      <c r="AE117" s="17">
        <f>VLOOKUP(B117,[2]Sheet1!$B$4:$J$188,9,0)</f>
        <v>653</v>
      </c>
      <c r="AF117" s="20">
        <f t="shared" si="52"/>
        <v>247</v>
      </c>
      <c r="AG117" s="21" t="str">
        <f>VLOOKUP(B117,'[3]MASTER -COLOR CODE'!$B$6:$C$337,2,0)</f>
        <v>ABUL BASHER ABDUL MUNAF</v>
      </c>
      <c r="AH117" s="21"/>
    </row>
    <row r="118" spans="1:34" s="63" customFormat="1" x14ac:dyDescent="0.25">
      <c r="A118" s="53">
        <v>117</v>
      </c>
      <c r="B118" s="54" t="s">
        <v>260</v>
      </c>
      <c r="C118" s="55" t="s">
        <v>261</v>
      </c>
      <c r="D118" s="56"/>
      <c r="E118" s="57"/>
      <c r="F118" s="58">
        <v>700</v>
      </c>
      <c r="G118" s="53">
        <v>31</v>
      </c>
      <c r="H118" s="53">
        <v>31</v>
      </c>
      <c r="I118" s="59">
        <f t="shared" si="45"/>
        <v>0</v>
      </c>
      <c r="J118" s="58">
        <f t="shared" si="33"/>
        <v>0</v>
      </c>
      <c r="K118" s="53"/>
      <c r="L118" s="58">
        <f t="shared" si="46"/>
        <v>0</v>
      </c>
      <c r="M118" s="53"/>
      <c r="N118" s="58">
        <f t="shared" si="47"/>
        <v>0</v>
      </c>
      <c r="O118" s="53"/>
      <c r="P118" s="58">
        <f t="shared" si="48"/>
        <v>0</v>
      </c>
      <c r="Q118" s="53">
        <f t="shared" si="55"/>
        <v>0</v>
      </c>
      <c r="R118" s="53">
        <v>200</v>
      </c>
      <c r="S118" s="58">
        <f t="shared" si="56"/>
        <v>0</v>
      </c>
      <c r="T118" s="53">
        <v>0</v>
      </c>
      <c r="U118" s="53">
        <v>0</v>
      </c>
      <c r="V118" s="53">
        <v>0</v>
      </c>
      <c r="W118" s="53">
        <v>0</v>
      </c>
      <c r="X118" s="58">
        <f t="shared" si="50"/>
        <v>0</v>
      </c>
      <c r="Y118" s="53"/>
      <c r="Z118" s="60"/>
      <c r="AA118" s="58">
        <f t="shared" si="39"/>
        <v>0</v>
      </c>
      <c r="AB118" s="61">
        <f t="shared" si="53"/>
        <v>0</v>
      </c>
      <c r="AC118" s="61">
        <f t="shared" si="54"/>
        <v>677</v>
      </c>
      <c r="AD118" s="61">
        <f t="shared" si="51"/>
        <v>-677</v>
      </c>
      <c r="AE118" s="58">
        <f>VLOOKUP(B118,[2]Sheet1!$B$4:$J$188,9,0)</f>
        <v>677</v>
      </c>
      <c r="AF118" s="61">
        <f t="shared" si="52"/>
        <v>-677</v>
      </c>
      <c r="AG118" s="62" t="str">
        <f>VLOOKUP(B118,'[3]MASTER -COLOR CODE'!$B$6:$C$337,2,0)</f>
        <v>SHAFIQ MIAH FORID MEAH</v>
      </c>
      <c r="AH118" s="62"/>
    </row>
    <row r="119" spans="1:34" s="22" customFormat="1" x14ac:dyDescent="0.25">
      <c r="A119" s="12">
        <v>118</v>
      </c>
      <c r="B119" s="13" t="s">
        <v>262</v>
      </c>
      <c r="C119" s="14" t="s">
        <v>263</v>
      </c>
      <c r="D119" s="15"/>
      <c r="E119" s="16"/>
      <c r="F119" s="17">
        <v>700</v>
      </c>
      <c r="G119" s="12">
        <v>31</v>
      </c>
      <c r="H119" s="12">
        <v>0</v>
      </c>
      <c r="I119" s="18">
        <f t="shared" si="45"/>
        <v>31</v>
      </c>
      <c r="J119" s="17">
        <f t="shared" si="33"/>
        <v>700</v>
      </c>
      <c r="K119" s="34"/>
      <c r="L119" s="17">
        <f t="shared" si="46"/>
        <v>0</v>
      </c>
      <c r="M119" s="12"/>
      <c r="N119" s="17">
        <f t="shared" si="47"/>
        <v>0</v>
      </c>
      <c r="O119" s="12"/>
      <c r="P119" s="17">
        <f t="shared" si="48"/>
        <v>0</v>
      </c>
      <c r="Q119" s="12">
        <f t="shared" si="55"/>
        <v>31</v>
      </c>
      <c r="R119" s="12">
        <v>200</v>
      </c>
      <c r="S119" s="17">
        <f t="shared" si="56"/>
        <v>200</v>
      </c>
      <c r="T119" s="12">
        <v>0</v>
      </c>
      <c r="U119" s="12">
        <v>0</v>
      </c>
      <c r="V119" s="12">
        <v>0</v>
      </c>
      <c r="W119" s="12">
        <v>0</v>
      </c>
      <c r="X119" s="17">
        <f t="shared" si="50"/>
        <v>900</v>
      </c>
      <c r="Y119" s="12"/>
      <c r="Z119" s="19"/>
      <c r="AA119" s="17">
        <f t="shared" si="39"/>
        <v>700</v>
      </c>
      <c r="AB119" s="20">
        <f t="shared" si="53"/>
        <v>200</v>
      </c>
      <c r="AC119" s="20">
        <f t="shared" si="54"/>
        <v>900</v>
      </c>
      <c r="AD119" s="20">
        <f t="shared" si="51"/>
        <v>0</v>
      </c>
      <c r="AE119" s="17">
        <f>VLOOKUP(B119,[2]Sheet1!$B$4:$J$188,9,0)</f>
        <v>700</v>
      </c>
      <c r="AF119" s="20">
        <f t="shared" si="52"/>
        <v>200</v>
      </c>
      <c r="AG119" s="21" t="str">
        <f>VLOOKUP(B119,'[3]MASTER -COLOR CODE'!$B$6:$C$337,2,0)</f>
        <v>MD SAKIL KHAN MD ABUL KASIM</v>
      </c>
      <c r="AH119" s="21"/>
    </row>
    <row r="120" spans="1:34" s="22" customFormat="1" x14ac:dyDescent="0.25">
      <c r="A120" s="12">
        <v>119</v>
      </c>
      <c r="B120" s="13" t="s">
        <v>264</v>
      </c>
      <c r="C120" s="14" t="s">
        <v>265</v>
      </c>
      <c r="D120" s="15"/>
      <c r="E120" s="16"/>
      <c r="F120" s="17">
        <v>700</v>
      </c>
      <c r="G120" s="12">
        <v>31</v>
      </c>
      <c r="H120" s="12">
        <v>0</v>
      </c>
      <c r="I120" s="18">
        <f t="shared" si="45"/>
        <v>31</v>
      </c>
      <c r="J120" s="17">
        <f t="shared" si="33"/>
        <v>700</v>
      </c>
      <c r="K120" s="34"/>
      <c r="L120" s="17">
        <f t="shared" si="46"/>
        <v>0</v>
      </c>
      <c r="M120" s="12"/>
      <c r="N120" s="17">
        <f t="shared" si="47"/>
        <v>0</v>
      </c>
      <c r="O120" s="12"/>
      <c r="P120" s="17">
        <f t="shared" si="48"/>
        <v>0</v>
      </c>
      <c r="Q120" s="12">
        <f t="shared" si="55"/>
        <v>31</v>
      </c>
      <c r="R120" s="12">
        <v>0</v>
      </c>
      <c r="S120" s="17">
        <f t="shared" si="56"/>
        <v>0</v>
      </c>
      <c r="T120" s="12">
        <v>0</v>
      </c>
      <c r="U120" s="12">
        <v>0</v>
      </c>
      <c r="V120" s="12">
        <v>0</v>
      </c>
      <c r="W120" s="12">
        <v>0</v>
      </c>
      <c r="X120" s="17">
        <f t="shared" si="50"/>
        <v>700</v>
      </c>
      <c r="Y120" s="12"/>
      <c r="Z120" s="19"/>
      <c r="AA120" s="17">
        <f t="shared" si="39"/>
        <v>700</v>
      </c>
      <c r="AB120" s="20">
        <f t="shared" si="53"/>
        <v>0</v>
      </c>
      <c r="AC120" s="20">
        <f t="shared" si="54"/>
        <v>700</v>
      </c>
      <c r="AD120" s="20">
        <f t="shared" si="51"/>
        <v>0</v>
      </c>
      <c r="AE120" s="17">
        <f>VLOOKUP(B120,[2]Sheet1!$B$4:$J$188,9,0)</f>
        <v>700</v>
      </c>
      <c r="AF120" s="20">
        <f t="shared" si="52"/>
        <v>0</v>
      </c>
      <c r="AG120" s="21" t="str">
        <f>VLOOKUP(B120,'[3]MASTER -COLOR CODE'!$B$6:$C$337,2,0)</f>
        <v>MD SHORIF MIA MD KALAM MIA</v>
      </c>
      <c r="AH120" s="21"/>
    </row>
    <row r="121" spans="1:34" s="22" customFormat="1" x14ac:dyDescent="0.25">
      <c r="A121" s="12">
        <v>120</v>
      </c>
      <c r="B121" s="13" t="s">
        <v>266</v>
      </c>
      <c r="C121" s="14" t="s">
        <v>267</v>
      </c>
      <c r="D121" s="15"/>
      <c r="E121" s="16"/>
      <c r="F121" s="17">
        <v>700</v>
      </c>
      <c r="G121" s="12">
        <v>31</v>
      </c>
      <c r="H121" s="12">
        <v>1</v>
      </c>
      <c r="I121" s="18">
        <f t="shared" si="45"/>
        <v>30</v>
      </c>
      <c r="J121" s="17">
        <f t="shared" si="33"/>
        <v>677.41935483870975</v>
      </c>
      <c r="K121" s="34"/>
      <c r="L121" s="17">
        <f t="shared" si="46"/>
        <v>0</v>
      </c>
      <c r="M121" s="12"/>
      <c r="N121" s="17">
        <f t="shared" si="47"/>
        <v>0</v>
      </c>
      <c r="O121" s="12"/>
      <c r="P121" s="17">
        <f t="shared" si="48"/>
        <v>0</v>
      </c>
      <c r="Q121" s="12">
        <f t="shared" si="55"/>
        <v>30</v>
      </c>
      <c r="R121" s="12">
        <v>0</v>
      </c>
      <c r="S121" s="17">
        <f t="shared" si="56"/>
        <v>0</v>
      </c>
      <c r="T121" s="12">
        <v>0</v>
      </c>
      <c r="U121" s="12">
        <v>0</v>
      </c>
      <c r="V121" s="12">
        <v>0</v>
      </c>
      <c r="W121" s="12">
        <v>0</v>
      </c>
      <c r="X121" s="17">
        <f t="shared" si="50"/>
        <v>677.41935483870975</v>
      </c>
      <c r="Y121" s="12"/>
      <c r="Z121" s="19"/>
      <c r="AA121" s="17">
        <f t="shared" si="39"/>
        <v>677.41935483870975</v>
      </c>
      <c r="AB121" s="20">
        <f t="shared" si="53"/>
        <v>0</v>
      </c>
      <c r="AC121" s="20">
        <f t="shared" si="54"/>
        <v>700</v>
      </c>
      <c r="AD121" s="20">
        <f t="shared" si="51"/>
        <v>-22.580645161290249</v>
      </c>
      <c r="AE121" s="17">
        <f>VLOOKUP(B121,[2]Sheet1!$B$4:$J$188,9,0)</f>
        <v>700</v>
      </c>
      <c r="AF121" s="20">
        <f t="shared" si="52"/>
        <v>-22.580645161290249</v>
      </c>
      <c r="AG121" s="21" t="str">
        <f>VLOOKUP(B121,'[3]MASTER -COLOR CODE'!$B$6:$C$337,2,0)</f>
        <v>MOHAMMAD FARVEZ MANJUR ALAM</v>
      </c>
      <c r="AH121" s="21"/>
    </row>
    <row r="122" spans="1:34" s="22" customFormat="1" x14ac:dyDescent="0.25">
      <c r="A122" s="12">
        <v>121</v>
      </c>
      <c r="B122" s="13" t="s">
        <v>268</v>
      </c>
      <c r="C122" s="14" t="s">
        <v>269</v>
      </c>
      <c r="D122" s="15"/>
      <c r="E122" s="16"/>
      <c r="F122" s="17">
        <v>700</v>
      </c>
      <c r="G122" s="12">
        <v>31</v>
      </c>
      <c r="H122" s="12">
        <v>0</v>
      </c>
      <c r="I122" s="18">
        <f t="shared" si="45"/>
        <v>31</v>
      </c>
      <c r="J122" s="17">
        <f t="shared" si="33"/>
        <v>700</v>
      </c>
      <c r="K122" s="34"/>
      <c r="L122" s="17">
        <f t="shared" si="46"/>
        <v>0</v>
      </c>
      <c r="M122" s="12"/>
      <c r="N122" s="17">
        <f t="shared" si="47"/>
        <v>0</v>
      </c>
      <c r="O122" s="12"/>
      <c r="P122" s="17">
        <f t="shared" si="48"/>
        <v>0</v>
      </c>
      <c r="Q122" s="12">
        <f t="shared" si="55"/>
        <v>31</v>
      </c>
      <c r="R122" s="12">
        <v>0</v>
      </c>
      <c r="S122" s="17">
        <f t="shared" si="56"/>
        <v>0</v>
      </c>
      <c r="T122" s="12">
        <v>0</v>
      </c>
      <c r="U122" s="12">
        <v>0</v>
      </c>
      <c r="V122" s="12">
        <v>0</v>
      </c>
      <c r="W122" s="12">
        <v>0</v>
      </c>
      <c r="X122" s="17">
        <f t="shared" si="50"/>
        <v>700</v>
      </c>
      <c r="Y122" s="12"/>
      <c r="Z122" s="19"/>
      <c r="AA122" s="17">
        <f t="shared" si="39"/>
        <v>700</v>
      </c>
      <c r="AB122" s="20">
        <f t="shared" si="53"/>
        <v>0</v>
      </c>
      <c r="AC122" s="20">
        <f t="shared" si="54"/>
        <v>700</v>
      </c>
      <c r="AD122" s="20">
        <f t="shared" si="51"/>
        <v>0</v>
      </c>
      <c r="AE122" s="17">
        <f>VLOOKUP(B122,[2]Sheet1!$B$4:$J$188,9,0)</f>
        <v>700</v>
      </c>
      <c r="AF122" s="20">
        <f t="shared" si="52"/>
        <v>0</v>
      </c>
      <c r="AG122" s="21" t="str">
        <f>VLOOKUP(B122,'[3]MASTER -COLOR CODE'!$B$6:$C$337,2,0)</f>
        <v>MD KAMAL MIA MD ABDUS SALAM</v>
      </c>
      <c r="AH122" s="21"/>
    </row>
    <row r="123" spans="1:34" s="22" customFormat="1" x14ac:dyDescent="0.25">
      <c r="A123" s="12">
        <v>122</v>
      </c>
      <c r="B123" s="13" t="s">
        <v>270</v>
      </c>
      <c r="C123" s="14" t="s">
        <v>271</v>
      </c>
      <c r="D123" s="15"/>
      <c r="E123" s="16"/>
      <c r="F123" s="17">
        <v>700</v>
      </c>
      <c r="G123" s="12">
        <v>31</v>
      </c>
      <c r="H123" s="12">
        <v>0</v>
      </c>
      <c r="I123" s="18">
        <f t="shared" si="45"/>
        <v>31</v>
      </c>
      <c r="J123" s="17">
        <f t="shared" si="33"/>
        <v>700</v>
      </c>
      <c r="K123" s="34"/>
      <c r="L123" s="17">
        <f t="shared" si="46"/>
        <v>0</v>
      </c>
      <c r="M123" s="12"/>
      <c r="N123" s="17">
        <f t="shared" si="47"/>
        <v>0</v>
      </c>
      <c r="O123" s="12"/>
      <c r="P123" s="17">
        <f t="shared" si="48"/>
        <v>0</v>
      </c>
      <c r="Q123" s="12">
        <f t="shared" si="55"/>
        <v>31</v>
      </c>
      <c r="R123" s="12">
        <v>200</v>
      </c>
      <c r="S123" s="17">
        <f t="shared" si="56"/>
        <v>200</v>
      </c>
      <c r="T123" s="12">
        <v>0</v>
      </c>
      <c r="U123" s="12">
        <v>0</v>
      </c>
      <c r="V123" s="12">
        <v>0</v>
      </c>
      <c r="W123" s="12">
        <v>0</v>
      </c>
      <c r="X123" s="17">
        <f t="shared" si="50"/>
        <v>900</v>
      </c>
      <c r="Y123" s="12"/>
      <c r="Z123" s="19"/>
      <c r="AA123" s="17">
        <f t="shared" si="39"/>
        <v>700</v>
      </c>
      <c r="AB123" s="20">
        <f t="shared" si="53"/>
        <v>200</v>
      </c>
      <c r="AC123" s="20">
        <f t="shared" si="54"/>
        <v>900</v>
      </c>
      <c r="AD123" s="20">
        <f t="shared" si="51"/>
        <v>0</v>
      </c>
      <c r="AE123" s="17">
        <f>VLOOKUP(B123,[2]Sheet1!$B$4:$J$188,9,0)</f>
        <v>700</v>
      </c>
      <c r="AF123" s="20">
        <f t="shared" si="52"/>
        <v>200</v>
      </c>
      <c r="AG123" s="21" t="str">
        <f>VLOOKUP(B123,'[3]MASTER -COLOR CODE'!$B$6:$C$337,2,0)</f>
        <v>MUHAMMAD ZOHAIB SABIR KHAN</v>
      </c>
      <c r="AH123" s="21"/>
    </row>
    <row r="124" spans="1:34" s="22" customFormat="1" x14ac:dyDescent="0.25">
      <c r="A124" s="12">
        <v>123</v>
      </c>
      <c r="B124" s="13" t="s">
        <v>272</v>
      </c>
      <c r="C124" s="14" t="s">
        <v>273</v>
      </c>
      <c r="D124" s="15"/>
      <c r="E124" s="16"/>
      <c r="F124" s="17">
        <v>700</v>
      </c>
      <c r="G124" s="12">
        <v>31</v>
      </c>
      <c r="H124" s="12">
        <v>26</v>
      </c>
      <c r="I124" s="18">
        <f t="shared" si="45"/>
        <v>5</v>
      </c>
      <c r="J124" s="17">
        <f t="shared" si="33"/>
        <v>112.90322580645162</v>
      </c>
      <c r="K124" s="34"/>
      <c r="L124" s="17">
        <f t="shared" si="46"/>
        <v>0</v>
      </c>
      <c r="M124" s="12"/>
      <c r="N124" s="17">
        <f t="shared" si="47"/>
        <v>0</v>
      </c>
      <c r="O124" s="12"/>
      <c r="P124" s="17">
        <f t="shared" si="48"/>
        <v>0</v>
      </c>
      <c r="Q124" s="12">
        <f t="shared" si="55"/>
        <v>5</v>
      </c>
      <c r="R124" s="34">
        <v>200</v>
      </c>
      <c r="S124" s="17">
        <f t="shared" si="56"/>
        <v>32.258064516129032</v>
      </c>
      <c r="T124" s="1">
        <v>0</v>
      </c>
      <c r="U124" s="12">
        <v>0</v>
      </c>
      <c r="V124" s="12">
        <v>0</v>
      </c>
      <c r="W124" s="12">
        <v>0</v>
      </c>
      <c r="X124" s="17">
        <f t="shared" si="50"/>
        <v>145.16129032258064</v>
      </c>
      <c r="Y124" s="12"/>
      <c r="Z124" s="19"/>
      <c r="AA124" s="17">
        <f t="shared" si="39"/>
        <v>112.90322580645162</v>
      </c>
      <c r="AB124" s="20">
        <f t="shared" si="53"/>
        <v>32.258064516129025</v>
      </c>
      <c r="AC124" s="20">
        <f t="shared" si="54"/>
        <v>232.25806451612902</v>
      </c>
      <c r="AD124" s="20">
        <f t="shared" si="51"/>
        <v>-87.096774193548384</v>
      </c>
      <c r="AE124" s="17">
        <f>VLOOKUP(B124,[2]Sheet1!$B$4:$J$188,9,0)</f>
        <v>200</v>
      </c>
      <c r="AF124" s="20">
        <f t="shared" si="52"/>
        <v>-54.838709677419359</v>
      </c>
      <c r="AG124" s="21" t="str">
        <f>VLOOKUP(B124,'[3]MASTER -COLOR CODE'!$B$6:$C$337,2,0)</f>
        <v>MD SIFUR ROHMAN MAMUN FORID MIA</v>
      </c>
      <c r="AH124" s="21"/>
    </row>
    <row r="125" spans="1:34" s="22" customFormat="1" x14ac:dyDescent="0.25">
      <c r="A125" s="12">
        <v>124</v>
      </c>
      <c r="B125" s="13" t="s">
        <v>274</v>
      </c>
      <c r="C125" s="14" t="s">
        <v>275</v>
      </c>
      <c r="D125" s="15"/>
      <c r="E125" s="16"/>
      <c r="F125" s="17">
        <v>700</v>
      </c>
      <c r="G125" s="12">
        <v>31</v>
      </c>
      <c r="H125" s="12">
        <v>0</v>
      </c>
      <c r="I125" s="18">
        <f t="shared" si="45"/>
        <v>31</v>
      </c>
      <c r="J125" s="17">
        <f t="shared" si="33"/>
        <v>700</v>
      </c>
      <c r="K125" s="34"/>
      <c r="L125" s="17">
        <f t="shared" si="46"/>
        <v>0</v>
      </c>
      <c r="M125" s="12"/>
      <c r="N125" s="17">
        <f t="shared" si="47"/>
        <v>0</v>
      </c>
      <c r="O125" s="12"/>
      <c r="P125" s="17">
        <f t="shared" si="48"/>
        <v>0</v>
      </c>
      <c r="Q125" s="12">
        <f t="shared" si="55"/>
        <v>31</v>
      </c>
      <c r="R125" s="12">
        <v>200</v>
      </c>
      <c r="S125" s="17">
        <f t="shared" ref="S125:S131" si="57">R125/G125*Q125</f>
        <v>200</v>
      </c>
      <c r="T125" s="12">
        <v>0</v>
      </c>
      <c r="U125" s="12">
        <v>0</v>
      </c>
      <c r="V125" s="12">
        <v>0</v>
      </c>
      <c r="W125" s="12">
        <v>0</v>
      </c>
      <c r="X125" s="17">
        <f t="shared" si="50"/>
        <v>900</v>
      </c>
      <c r="Y125" s="12"/>
      <c r="Z125" s="19"/>
      <c r="AA125" s="17">
        <f t="shared" si="39"/>
        <v>700</v>
      </c>
      <c r="AB125" s="20">
        <f t="shared" si="53"/>
        <v>200</v>
      </c>
      <c r="AC125" s="20">
        <f t="shared" si="54"/>
        <v>900</v>
      </c>
      <c r="AD125" s="20">
        <f t="shared" si="51"/>
        <v>0</v>
      </c>
      <c r="AE125" s="17">
        <f>VLOOKUP(B125,[2]Sheet1!$B$4:$J$188,9,0)</f>
        <v>700</v>
      </c>
      <c r="AF125" s="20">
        <f t="shared" si="52"/>
        <v>200</v>
      </c>
      <c r="AG125" s="21" t="str">
        <f>VLOOKUP(B125,'[3]MASTER -COLOR CODE'!$B$6:$C$337,2,0)</f>
        <v>HASAN MAHMUD MD ABDUL HAMEED</v>
      </c>
      <c r="AH125" s="21"/>
    </row>
    <row r="126" spans="1:34" s="22" customFormat="1" x14ac:dyDescent="0.25">
      <c r="A126" s="12">
        <v>125</v>
      </c>
      <c r="B126" s="13" t="s">
        <v>276</v>
      </c>
      <c r="C126" s="14" t="s">
        <v>277</v>
      </c>
      <c r="D126" s="15"/>
      <c r="E126" s="16"/>
      <c r="F126" s="17">
        <v>700</v>
      </c>
      <c r="G126" s="12">
        <v>31</v>
      </c>
      <c r="H126" s="12">
        <v>0</v>
      </c>
      <c r="I126" s="18">
        <f t="shared" si="45"/>
        <v>31</v>
      </c>
      <c r="J126" s="17">
        <f t="shared" si="33"/>
        <v>700</v>
      </c>
      <c r="K126" s="34"/>
      <c r="L126" s="17">
        <f t="shared" si="46"/>
        <v>0</v>
      </c>
      <c r="M126" s="12"/>
      <c r="N126" s="17">
        <f t="shared" si="47"/>
        <v>0</v>
      </c>
      <c r="O126" s="12"/>
      <c r="P126" s="17">
        <f t="shared" si="48"/>
        <v>0</v>
      </c>
      <c r="Q126" s="12">
        <f t="shared" si="55"/>
        <v>31</v>
      </c>
      <c r="R126" s="12">
        <v>200</v>
      </c>
      <c r="S126" s="17">
        <f t="shared" si="57"/>
        <v>200</v>
      </c>
      <c r="T126" s="12">
        <v>0</v>
      </c>
      <c r="U126" s="12">
        <v>0</v>
      </c>
      <c r="V126" s="12">
        <v>0</v>
      </c>
      <c r="W126" s="12">
        <v>0</v>
      </c>
      <c r="X126" s="17">
        <f t="shared" si="50"/>
        <v>900</v>
      </c>
      <c r="Y126" s="12"/>
      <c r="Z126" s="19"/>
      <c r="AA126" s="17">
        <f t="shared" si="39"/>
        <v>700</v>
      </c>
      <c r="AB126" s="20">
        <f t="shared" si="53"/>
        <v>200</v>
      </c>
      <c r="AC126" s="20">
        <f t="shared" si="54"/>
        <v>853</v>
      </c>
      <c r="AD126" s="20">
        <f t="shared" si="51"/>
        <v>47</v>
      </c>
      <c r="AE126" s="17">
        <f>VLOOKUP(B126,[2]Sheet1!$B$4:$J$188,9,0)</f>
        <v>653</v>
      </c>
      <c r="AF126" s="20">
        <f t="shared" si="52"/>
        <v>247</v>
      </c>
      <c r="AG126" s="21" t="str">
        <f>VLOOKUP(B126,'[3]MASTER -COLOR CODE'!$B$6:$C$337,2,0)</f>
        <v>MUHAMMAD ULLAH BAS LARIF</v>
      </c>
      <c r="AH126" s="21"/>
    </row>
    <row r="127" spans="1:34" s="22" customFormat="1" x14ac:dyDescent="0.25">
      <c r="A127" s="12">
        <v>126</v>
      </c>
      <c r="B127" s="13" t="s">
        <v>278</v>
      </c>
      <c r="C127" s="14" t="s">
        <v>279</v>
      </c>
      <c r="D127" s="15"/>
      <c r="E127" s="16"/>
      <c r="F127" s="17">
        <v>700</v>
      </c>
      <c r="G127" s="12">
        <v>31</v>
      </c>
      <c r="H127" s="12">
        <v>0</v>
      </c>
      <c r="I127" s="18">
        <f t="shared" si="45"/>
        <v>31</v>
      </c>
      <c r="J127" s="17">
        <f t="shared" si="33"/>
        <v>700</v>
      </c>
      <c r="K127" s="34"/>
      <c r="L127" s="17">
        <v>184</v>
      </c>
      <c r="M127" s="12"/>
      <c r="N127" s="17">
        <f t="shared" si="47"/>
        <v>0</v>
      </c>
      <c r="O127" s="12"/>
      <c r="P127" s="17">
        <f t="shared" si="48"/>
        <v>0</v>
      </c>
      <c r="Q127" s="12">
        <f t="shared" si="55"/>
        <v>31</v>
      </c>
      <c r="R127" s="12">
        <v>200</v>
      </c>
      <c r="S127" s="17">
        <f t="shared" si="57"/>
        <v>200</v>
      </c>
      <c r="T127" s="12">
        <v>0</v>
      </c>
      <c r="U127" s="12">
        <v>0</v>
      </c>
      <c r="V127" s="12">
        <v>0</v>
      </c>
      <c r="W127" s="12">
        <v>0</v>
      </c>
      <c r="X127" s="17">
        <f t="shared" si="50"/>
        <v>1084</v>
      </c>
      <c r="Y127" s="12"/>
      <c r="Z127" s="19"/>
      <c r="AA127" s="17">
        <f t="shared" si="39"/>
        <v>700</v>
      </c>
      <c r="AB127" s="20">
        <f t="shared" si="53"/>
        <v>384</v>
      </c>
      <c r="AC127" s="20">
        <f t="shared" si="54"/>
        <v>1084</v>
      </c>
      <c r="AD127" s="20">
        <f t="shared" si="51"/>
        <v>0</v>
      </c>
      <c r="AE127" s="17">
        <f>VLOOKUP(B127,[2]Sheet1!$B$4:$J$188,9,0)</f>
        <v>700</v>
      </c>
      <c r="AF127" s="20">
        <f t="shared" si="52"/>
        <v>384</v>
      </c>
      <c r="AG127" s="21" t="str">
        <f>VLOOKUP(B127,'[3]MASTER -COLOR CODE'!$B$6:$C$337,2,0)</f>
        <v>MOHAMMAD JAKIR</v>
      </c>
      <c r="AH127" s="21"/>
    </row>
    <row r="128" spans="1:34" s="22" customFormat="1" x14ac:dyDescent="0.25">
      <c r="A128" s="12">
        <v>127</v>
      </c>
      <c r="B128" s="13" t="s">
        <v>280</v>
      </c>
      <c r="C128" s="14" t="s">
        <v>281</v>
      </c>
      <c r="D128" s="15"/>
      <c r="E128" s="16"/>
      <c r="F128" s="17">
        <v>700</v>
      </c>
      <c r="G128" s="12">
        <v>31</v>
      </c>
      <c r="H128" s="12">
        <v>0</v>
      </c>
      <c r="I128" s="18">
        <f t="shared" si="45"/>
        <v>31</v>
      </c>
      <c r="J128" s="17">
        <f t="shared" si="33"/>
        <v>700</v>
      </c>
      <c r="K128" s="34"/>
      <c r="L128" s="17">
        <f t="shared" ref="L128:L159" si="58">F128/30/8*1.25*K128</f>
        <v>0</v>
      </c>
      <c r="M128" s="12"/>
      <c r="N128" s="17">
        <f t="shared" si="47"/>
        <v>0</v>
      </c>
      <c r="O128" s="12"/>
      <c r="P128" s="17">
        <f t="shared" si="48"/>
        <v>0</v>
      </c>
      <c r="Q128" s="12">
        <f t="shared" si="55"/>
        <v>31</v>
      </c>
      <c r="R128" s="12">
        <v>200</v>
      </c>
      <c r="S128" s="17">
        <f t="shared" si="57"/>
        <v>200</v>
      </c>
      <c r="T128" s="12">
        <v>0</v>
      </c>
      <c r="U128" s="12">
        <v>0</v>
      </c>
      <c r="V128" s="12">
        <v>0</v>
      </c>
      <c r="W128" s="12">
        <v>0</v>
      </c>
      <c r="X128" s="17">
        <f t="shared" si="50"/>
        <v>900</v>
      </c>
      <c r="Y128" s="12"/>
      <c r="Z128" s="19"/>
      <c r="AA128" s="17">
        <f t="shared" si="39"/>
        <v>700</v>
      </c>
      <c r="AB128" s="20">
        <f t="shared" si="53"/>
        <v>200</v>
      </c>
      <c r="AC128" s="20">
        <f t="shared" si="54"/>
        <v>900</v>
      </c>
      <c r="AD128" s="20">
        <f t="shared" si="51"/>
        <v>0</v>
      </c>
      <c r="AE128" s="17">
        <f>VLOOKUP(B128,[2]Sheet1!$B$4:$J$188,9,0)</f>
        <v>700</v>
      </c>
      <c r="AF128" s="20">
        <f t="shared" si="52"/>
        <v>200</v>
      </c>
      <c r="AG128" s="21" t="str">
        <f>VLOOKUP(B128,'[3]MASTER -COLOR CODE'!$B$6:$C$337,2,0)</f>
        <v>MD AMAN ULLAH MD SIRAJ UDDIN</v>
      </c>
      <c r="AH128" s="21"/>
    </row>
    <row r="129" spans="1:34" s="22" customFormat="1" x14ac:dyDescent="0.25">
      <c r="A129" s="12">
        <v>128</v>
      </c>
      <c r="B129" s="13" t="s">
        <v>282</v>
      </c>
      <c r="C129" s="14" t="s">
        <v>283</v>
      </c>
      <c r="D129" s="15"/>
      <c r="E129" s="16"/>
      <c r="F129" s="17">
        <v>700</v>
      </c>
      <c r="G129" s="12">
        <v>31</v>
      </c>
      <c r="H129" s="12">
        <v>0</v>
      </c>
      <c r="I129" s="18">
        <f t="shared" si="45"/>
        <v>31</v>
      </c>
      <c r="J129" s="17">
        <f t="shared" si="33"/>
        <v>700</v>
      </c>
      <c r="K129" s="34"/>
      <c r="L129" s="17">
        <f t="shared" si="58"/>
        <v>0</v>
      </c>
      <c r="M129" s="12"/>
      <c r="N129" s="17">
        <f t="shared" si="47"/>
        <v>0</v>
      </c>
      <c r="O129" s="12"/>
      <c r="P129" s="17">
        <f t="shared" si="48"/>
        <v>0</v>
      </c>
      <c r="Q129" s="12">
        <f t="shared" si="55"/>
        <v>31</v>
      </c>
      <c r="R129" s="12">
        <v>200</v>
      </c>
      <c r="S129" s="17">
        <f t="shared" si="57"/>
        <v>200</v>
      </c>
      <c r="T129" s="12">
        <v>0</v>
      </c>
      <c r="U129" s="12">
        <v>0</v>
      </c>
      <c r="V129" s="12">
        <v>0</v>
      </c>
      <c r="W129" s="12">
        <v>0</v>
      </c>
      <c r="X129" s="17">
        <f t="shared" si="50"/>
        <v>900</v>
      </c>
      <c r="Y129" s="12"/>
      <c r="Z129" s="19"/>
      <c r="AA129" s="17">
        <f t="shared" si="39"/>
        <v>700</v>
      </c>
      <c r="AB129" s="20">
        <f t="shared" si="53"/>
        <v>200</v>
      </c>
      <c r="AC129" s="20">
        <f t="shared" si="54"/>
        <v>900</v>
      </c>
      <c r="AD129" s="20">
        <f t="shared" si="51"/>
        <v>0</v>
      </c>
      <c r="AE129" s="17">
        <f>VLOOKUP(B129,[2]Sheet1!$B$4:$J$188,9,0)</f>
        <v>700</v>
      </c>
      <c r="AF129" s="20">
        <f t="shared" si="52"/>
        <v>200</v>
      </c>
      <c r="AG129" s="21" t="str">
        <f>VLOOKUP(B129,'[3]MASTER -COLOR CODE'!$B$6:$C$337,2,0)</f>
        <v>MD SUMSUL ALOM MD SUKUR ALI</v>
      </c>
      <c r="AH129" s="21"/>
    </row>
    <row r="130" spans="1:34" s="22" customFormat="1" x14ac:dyDescent="0.25">
      <c r="A130" s="12">
        <v>129</v>
      </c>
      <c r="B130" s="13" t="s">
        <v>284</v>
      </c>
      <c r="C130" s="14" t="s">
        <v>285</v>
      </c>
      <c r="D130" s="15"/>
      <c r="E130" s="16"/>
      <c r="F130" s="17">
        <v>700</v>
      </c>
      <c r="G130" s="12">
        <v>31</v>
      </c>
      <c r="H130" s="12">
        <v>0</v>
      </c>
      <c r="I130" s="18">
        <f t="shared" ref="I130:I161" si="59">G130-H130</f>
        <v>31</v>
      </c>
      <c r="J130" s="17">
        <f t="shared" ref="J130:J193" si="60">F130/G130*I130</f>
        <v>700</v>
      </c>
      <c r="K130" s="34"/>
      <c r="L130" s="17">
        <f t="shared" si="58"/>
        <v>0</v>
      </c>
      <c r="M130" s="12"/>
      <c r="N130" s="17">
        <f t="shared" ref="N130:N135" si="61">F130/30/8*1.25*M130</f>
        <v>0</v>
      </c>
      <c r="O130" s="12"/>
      <c r="P130" s="17">
        <f t="shared" ref="P130:P135" si="62">F130/30/8*1.5*O130</f>
        <v>0</v>
      </c>
      <c r="Q130" s="12">
        <f t="shared" si="55"/>
        <v>31</v>
      </c>
      <c r="R130" s="12">
        <v>200</v>
      </c>
      <c r="S130" s="17">
        <f t="shared" si="57"/>
        <v>200</v>
      </c>
      <c r="T130" s="12">
        <v>0</v>
      </c>
      <c r="U130" s="12">
        <v>0</v>
      </c>
      <c r="V130" s="12">
        <v>0</v>
      </c>
      <c r="W130" s="12">
        <v>0</v>
      </c>
      <c r="X130" s="17">
        <f t="shared" ref="X130:X161" si="63">J130+L130+N130+P130+S130+T130+U130+V130-W130</f>
        <v>900</v>
      </c>
      <c r="Y130" s="12"/>
      <c r="Z130" s="19"/>
      <c r="AA130" s="17">
        <f t="shared" ref="AA130:AA193" si="64">J130</f>
        <v>700</v>
      </c>
      <c r="AB130" s="20">
        <f t="shared" si="53"/>
        <v>200</v>
      </c>
      <c r="AC130" s="20">
        <f t="shared" si="54"/>
        <v>900</v>
      </c>
      <c r="AD130" s="20">
        <f t="shared" ref="AD130:AD134" si="65">X130-AC130</f>
        <v>0</v>
      </c>
      <c r="AE130" s="17">
        <f>VLOOKUP(B130,[2]Sheet1!$B$4:$J$188,9,0)</f>
        <v>700</v>
      </c>
      <c r="AF130" s="20">
        <f t="shared" ref="AF130:AF156" si="66">X130-AE130</f>
        <v>200</v>
      </c>
      <c r="AG130" s="21" t="str">
        <f>VLOOKUP(B130,'[3]MASTER -COLOR CODE'!$B$6:$C$337,2,0)</f>
        <v>NUR ISLAM SHAHIDUL ISLAM</v>
      </c>
      <c r="AH130" s="21"/>
    </row>
    <row r="131" spans="1:34" s="22" customFormat="1" x14ac:dyDescent="0.25">
      <c r="A131" s="12">
        <v>130</v>
      </c>
      <c r="B131" s="13" t="s">
        <v>286</v>
      </c>
      <c r="C131" s="14" t="s">
        <v>287</v>
      </c>
      <c r="D131" s="15"/>
      <c r="E131" s="16"/>
      <c r="F131" s="17">
        <v>700</v>
      </c>
      <c r="G131" s="12">
        <v>31</v>
      </c>
      <c r="H131" s="12">
        <v>0</v>
      </c>
      <c r="I131" s="18">
        <f t="shared" si="59"/>
        <v>31</v>
      </c>
      <c r="J131" s="17">
        <f t="shared" si="60"/>
        <v>700</v>
      </c>
      <c r="K131" s="34"/>
      <c r="L131" s="17">
        <f t="shared" si="58"/>
        <v>0</v>
      </c>
      <c r="M131" s="12"/>
      <c r="N131" s="17">
        <f t="shared" si="61"/>
        <v>0</v>
      </c>
      <c r="O131" s="12"/>
      <c r="P131" s="17">
        <f t="shared" si="62"/>
        <v>0</v>
      </c>
      <c r="Q131" s="12">
        <f t="shared" si="55"/>
        <v>31</v>
      </c>
      <c r="R131" s="12">
        <v>200</v>
      </c>
      <c r="S131" s="17">
        <f t="shared" si="57"/>
        <v>200</v>
      </c>
      <c r="T131" s="12">
        <v>0</v>
      </c>
      <c r="U131" s="12">
        <v>0</v>
      </c>
      <c r="V131" s="12">
        <v>0</v>
      </c>
      <c r="W131" s="12">
        <v>0</v>
      </c>
      <c r="X131" s="17">
        <f t="shared" si="63"/>
        <v>900</v>
      </c>
      <c r="Y131" s="12"/>
      <c r="Z131" s="19"/>
      <c r="AA131" s="17">
        <f t="shared" si="64"/>
        <v>700</v>
      </c>
      <c r="AB131" s="20">
        <f t="shared" si="53"/>
        <v>200</v>
      </c>
      <c r="AC131" s="20">
        <f t="shared" si="54"/>
        <v>900</v>
      </c>
      <c r="AD131" s="20">
        <f t="shared" si="65"/>
        <v>0</v>
      </c>
      <c r="AE131" s="17">
        <f>VLOOKUP(B131,[2]Sheet1!$B$4:$J$188,9,0)</f>
        <v>700</v>
      </c>
      <c r="AF131" s="20">
        <f t="shared" si="66"/>
        <v>200</v>
      </c>
      <c r="AG131" s="21" t="str">
        <f>VLOOKUP(B131,'[3]MASTER -COLOR CODE'!$B$6:$C$337,2,0)</f>
        <v>TURAN MIA ASID MIAH</v>
      </c>
      <c r="AH131" s="21"/>
    </row>
    <row r="132" spans="1:34" s="63" customFormat="1" x14ac:dyDescent="0.25">
      <c r="A132" s="53">
        <v>131</v>
      </c>
      <c r="B132" s="54" t="s">
        <v>288</v>
      </c>
      <c r="C132" s="65" t="s">
        <v>289</v>
      </c>
      <c r="D132" s="56"/>
      <c r="E132" s="57">
        <v>700</v>
      </c>
      <c r="F132" s="58">
        <v>700</v>
      </c>
      <c r="G132" s="53">
        <v>31</v>
      </c>
      <c r="H132" s="53">
        <v>31</v>
      </c>
      <c r="I132" s="59">
        <f t="shared" si="59"/>
        <v>0</v>
      </c>
      <c r="J132" s="58">
        <f t="shared" si="60"/>
        <v>0</v>
      </c>
      <c r="K132" s="53"/>
      <c r="L132" s="58">
        <f t="shared" si="58"/>
        <v>0</v>
      </c>
      <c r="M132" s="53"/>
      <c r="N132" s="58">
        <f t="shared" si="61"/>
        <v>0</v>
      </c>
      <c r="O132" s="53"/>
      <c r="P132" s="58">
        <f t="shared" si="62"/>
        <v>0</v>
      </c>
      <c r="Q132" s="53">
        <f t="shared" si="55"/>
        <v>0</v>
      </c>
      <c r="R132" s="53">
        <v>200</v>
      </c>
      <c r="S132" s="58">
        <v>200</v>
      </c>
      <c r="T132" s="53">
        <v>0</v>
      </c>
      <c r="U132" s="53">
        <v>0</v>
      </c>
      <c r="V132" s="53">
        <v>0</v>
      </c>
      <c r="W132" s="53">
        <v>0</v>
      </c>
      <c r="X132" s="58">
        <f t="shared" si="63"/>
        <v>200</v>
      </c>
      <c r="Y132" s="58"/>
      <c r="Z132" s="60"/>
      <c r="AA132" s="58">
        <f t="shared" si="64"/>
        <v>0</v>
      </c>
      <c r="AB132" s="61">
        <f t="shared" si="53"/>
        <v>200</v>
      </c>
      <c r="AC132" s="61">
        <f t="shared" si="54"/>
        <v>400</v>
      </c>
      <c r="AD132" s="61">
        <f t="shared" si="65"/>
        <v>-200</v>
      </c>
      <c r="AE132" s="58">
        <f>VLOOKUP(B132,[2]Sheet1!$B$4:$J$188,9,0)</f>
        <v>200</v>
      </c>
      <c r="AF132" s="61">
        <f t="shared" si="66"/>
        <v>0</v>
      </c>
      <c r="AG132" s="62" t="str">
        <f>VLOOKUP(B132,'[3]MASTER -COLOR CODE'!$B$6:$C$337,2,0)</f>
        <v>MD RAJU AHMED</v>
      </c>
      <c r="AH132" s="62"/>
    </row>
    <row r="133" spans="1:34" s="22" customFormat="1" x14ac:dyDescent="0.25">
      <c r="A133" s="12">
        <v>132</v>
      </c>
      <c r="B133" s="13" t="s">
        <v>290</v>
      </c>
      <c r="C133" s="14" t="s">
        <v>291</v>
      </c>
      <c r="D133" s="15"/>
      <c r="E133" s="16"/>
      <c r="F133" s="17">
        <v>700</v>
      </c>
      <c r="G133" s="12">
        <v>31</v>
      </c>
      <c r="H133" s="12">
        <v>0</v>
      </c>
      <c r="I133" s="18">
        <f t="shared" si="59"/>
        <v>31</v>
      </c>
      <c r="J133" s="17">
        <f t="shared" si="60"/>
        <v>700</v>
      </c>
      <c r="K133" s="34"/>
      <c r="L133" s="17">
        <f t="shared" si="58"/>
        <v>0</v>
      </c>
      <c r="M133" s="12"/>
      <c r="N133" s="17">
        <f t="shared" si="61"/>
        <v>0</v>
      </c>
      <c r="O133" s="12"/>
      <c r="P133" s="17">
        <f t="shared" si="62"/>
        <v>0</v>
      </c>
      <c r="Q133" s="12">
        <f t="shared" si="55"/>
        <v>31</v>
      </c>
      <c r="R133" s="12">
        <v>200</v>
      </c>
      <c r="S133" s="17">
        <f>R133/G133*Q133</f>
        <v>200</v>
      </c>
      <c r="T133" s="1">
        <v>0</v>
      </c>
      <c r="U133" s="12">
        <v>0</v>
      </c>
      <c r="V133" s="12">
        <v>0</v>
      </c>
      <c r="W133" s="12">
        <v>0</v>
      </c>
      <c r="X133" s="17">
        <f t="shared" si="63"/>
        <v>900</v>
      </c>
      <c r="Y133" s="12"/>
      <c r="Z133" s="19"/>
      <c r="AA133" s="17">
        <f t="shared" si="64"/>
        <v>700</v>
      </c>
      <c r="AB133" s="20">
        <f t="shared" si="53"/>
        <v>200</v>
      </c>
      <c r="AC133" s="20">
        <f t="shared" si="54"/>
        <v>900</v>
      </c>
      <c r="AD133" s="20">
        <f t="shared" si="65"/>
        <v>0</v>
      </c>
      <c r="AE133" s="17">
        <f>VLOOKUP(B133,[2]Sheet1!$B$4:$J$188,9,0)</f>
        <v>700</v>
      </c>
      <c r="AF133" s="20">
        <f t="shared" si="66"/>
        <v>200</v>
      </c>
      <c r="AG133" s="21" t="str">
        <f>VLOOKUP(B133,'[3]MASTER -COLOR CODE'!$B$6:$C$337,2,0)</f>
        <v xml:space="preserve">KABIR MD FUL MIAH </v>
      </c>
      <c r="AH133" s="21"/>
    </row>
    <row r="134" spans="1:34" s="22" customFormat="1" x14ac:dyDescent="0.25">
      <c r="A134" s="12">
        <v>133</v>
      </c>
      <c r="B134" s="13" t="s">
        <v>292</v>
      </c>
      <c r="C134" s="14" t="s">
        <v>293</v>
      </c>
      <c r="D134" s="15"/>
      <c r="E134" s="16"/>
      <c r="F134" s="17">
        <v>700</v>
      </c>
      <c r="G134" s="12">
        <v>31</v>
      </c>
      <c r="H134" s="12">
        <v>0</v>
      </c>
      <c r="I134" s="18">
        <f t="shared" si="59"/>
        <v>31</v>
      </c>
      <c r="J134" s="17">
        <f t="shared" si="60"/>
        <v>700</v>
      </c>
      <c r="K134" s="34"/>
      <c r="L134" s="17">
        <f t="shared" si="58"/>
        <v>0</v>
      </c>
      <c r="M134" s="12"/>
      <c r="N134" s="17">
        <f t="shared" si="61"/>
        <v>0</v>
      </c>
      <c r="O134" s="12"/>
      <c r="P134" s="17">
        <f t="shared" si="62"/>
        <v>0</v>
      </c>
      <c r="Q134" s="12">
        <f t="shared" si="55"/>
        <v>31</v>
      </c>
      <c r="R134" s="12">
        <v>200</v>
      </c>
      <c r="S134" s="17">
        <f>R134/G134*Q134</f>
        <v>200</v>
      </c>
      <c r="T134" s="1">
        <v>0</v>
      </c>
      <c r="U134" s="12">
        <v>0</v>
      </c>
      <c r="V134" s="12">
        <v>0</v>
      </c>
      <c r="W134" s="12">
        <v>0</v>
      </c>
      <c r="X134" s="17">
        <f t="shared" si="63"/>
        <v>900</v>
      </c>
      <c r="Y134" s="12"/>
      <c r="Z134" s="19"/>
      <c r="AA134" s="17">
        <f t="shared" si="64"/>
        <v>700</v>
      </c>
      <c r="AB134" s="20">
        <f t="shared" si="53"/>
        <v>200</v>
      </c>
      <c r="AC134" s="20">
        <f t="shared" si="54"/>
        <v>900</v>
      </c>
      <c r="AD134" s="20">
        <f t="shared" si="65"/>
        <v>0</v>
      </c>
      <c r="AE134" s="17">
        <f>VLOOKUP(B134,[2]Sheet1!$B$4:$J$188,9,0)</f>
        <v>700</v>
      </c>
      <c r="AF134" s="20">
        <f t="shared" si="66"/>
        <v>200</v>
      </c>
      <c r="AG134" s="21" t="str">
        <f>VLOOKUP(B134,'[3]MASTER -COLOR CODE'!$B$6:$C$337,2,0)</f>
        <v>MD SHIRAJUL ISLAM</v>
      </c>
      <c r="AH134" s="21"/>
    </row>
    <row r="135" spans="1:34" s="22" customFormat="1" x14ac:dyDescent="0.25">
      <c r="A135" s="12">
        <v>134</v>
      </c>
      <c r="B135" s="13" t="s">
        <v>294</v>
      </c>
      <c r="C135" s="27" t="s">
        <v>295</v>
      </c>
      <c r="D135" s="15"/>
      <c r="E135" s="15"/>
      <c r="F135" s="16">
        <v>900</v>
      </c>
      <c r="G135" s="12">
        <v>31</v>
      </c>
      <c r="H135" s="12">
        <v>2</v>
      </c>
      <c r="I135" s="18">
        <f t="shared" si="59"/>
        <v>29</v>
      </c>
      <c r="J135" s="17">
        <f t="shared" si="60"/>
        <v>841.93548387096769</v>
      </c>
      <c r="K135" s="34"/>
      <c r="L135" s="17">
        <f t="shared" si="58"/>
        <v>0</v>
      </c>
      <c r="M135" s="12"/>
      <c r="N135" s="17">
        <f t="shared" si="61"/>
        <v>0</v>
      </c>
      <c r="O135" s="12"/>
      <c r="P135" s="17">
        <f t="shared" si="62"/>
        <v>0</v>
      </c>
      <c r="Q135" s="12">
        <f t="shared" si="55"/>
        <v>29</v>
      </c>
      <c r="R135" s="12">
        <f>J135</f>
        <v>841.93548387096769</v>
      </c>
      <c r="S135" s="12">
        <v>200</v>
      </c>
      <c r="T135" s="1">
        <v>100</v>
      </c>
      <c r="U135" s="12">
        <v>0</v>
      </c>
      <c r="V135" s="12">
        <v>0</v>
      </c>
      <c r="W135" s="12">
        <v>0</v>
      </c>
      <c r="X135" s="17">
        <f t="shared" si="63"/>
        <v>1141.9354838709678</v>
      </c>
      <c r="Y135" s="17"/>
      <c r="Z135" s="19"/>
      <c r="AA135" s="17">
        <f t="shared" si="64"/>
        <v>841.93548387096769</v>
      </c>
      <c r="AB135" s="17">
        <v>300</v>
      </c>
      <c r="AC135" s="20">
        <f t="shared" si="54"/>
        <v>1200</v>
      </c>
      <c r="AD135" s="20">
        <f>AB135+AC135</f>
        <v>1500</v>
      </c>
      <c r="AE135" s="17">
        <f>VLOOKUP(B135,[2]Sheet1!$B$4:$J$188,9,0)</f>
        <v>900</v>
      </c>
      <c r="AF135" s="20">
        <f t="shared" si="66"/>
        <v>241.9354838709678</v>
      </c>
      <c r="AG135" s="21" t="str">
        <f>VLOOKUP(B135,'[3]MASTER -COLOR CODE'!$B$6:$C$337,2,0)</f>
        <v>MUHAMMAD QASIM</v>
      </c>
      <c r="AH135" s="21"/>
    </row>
    <row r="136" spans="1:34" s="22" customFormat="1" x14ac:dyDescent="0.25">
      <c r="A136" s="12">
        <v>135</v>
      </c>
      <c r="B136" s="13" t="s">
        <v>296</v>
      </c>
      <c r="C136" s="23" t="s">
        <v>297</v>
      </c>
      <c r="D136" s="15"/>
      <c r="E136" s="15"/>
      <c r="F136" s="16">
        <v>900</v>
      </c>
      <c r="G136" s="12">
        <v>31</v>
      </c>
      <c r="H136" s="12">
        <v>0</v>
      </c>
      <c r="I136" s="18">
        <f t="shared" si="59"/>
        <v>31</v>
      </c>
      <c r="J136" s="17">
        <f t="shared" si="60"/>
        <v>900</v>
      </c>
      <c r="K136" s="34"/>
      <c r="L136" s="17">
        <f t="shared" si="58"/>
        <v>0</v>
      </c>
      <c r="M136" s="12"/>
      <c r="N136" s="12">
        <v>0</v>
      </c>
      <c r="O136" s="12"/>
      <c r="P136" s="12">
        <v>0</v>
      </c>
      <c r="Q136" s="12">
        <f t="shared" si="55"/>
        <v>31</v>
      </c>
      <c r="R136" s="12">
        <f>J136</f>
        <v>900</v>
      </c>
      <c r="S136" s="12">
        <v>200</v>
      </c>
      <c r="T136" s="1">
        <v>100</v>
      </c>
      <c r="U136" s="1">
        <v>0</v>
      </c>
      <c r="V136" s="12">
        <v>0</v>
      </c>
      <c r="W136" s="12">
        <v>0</v>
      </c>
      <c r="X136" s="17">
        <f t="shared" si="63"/>
        <v>1200</v>
      </c>
      <c r="Y136" s="17"/>
      <c r="Z136" s="19"/>
      <c r="AA136" s="17">
        <f t="shared" si="64"/>
        <v>900</v>
      </c>
      <c r="AB136" s="17">
        <v>355</v>
      </c>
      <c r="AC136" s="20">
        <v>0</v>
      </c>
      <c r="AD136" s="20">
        <f>AB136+AC136</f>
        <v>355</v>
      </c>
      <c r="AE136" s="17">
        <f>VLOOKUP(B136,[2]Sheet1!$B$4:$J$188,9,0)</f>
        <v>690</v>
      </c>
      <c r="AF136" s="20">
        <f t="shared" si="66"/>
        <v>510</v>
      </c>
      <c r="AG136" s="21" t="str">
        <f>VLOOKUP(B136,'[3]MASTER -COLOR CODE'!$B$6:$C$337,2,0)</f>
        <v>MUHAMMAD SARIB AZEEM</v>
      </c>
      <c r="AH136" s="21"/>
    </row>
    <row r="137" spans="1:34" s="22" customFormat="1" x14ac:dyDescent="0.25">
      <c r="A137" s="12">
        <v>136</v>
      </c>
      <c r="B137" s="13" t="s">
        <v>298</v>
      </c>
      <c r="C137" s="14" t="s">
        <v>299</v>
      </c>
      <c r="D137" s="15"/>
      <c r="E137" s="16"/>
      <c r="F137" s="17">
        <v>900</v>
      </c>
      <c r="G137" s="12">
        <v>31</v>
      </c>
      <c r="H137" s="12">
        <v>0</v>
      </c>
      <c r="I137" s="18">
        <f t="shared" si="59"/>
        <v>31</v>
      </c>
      <c r="J137" s="17">
        <f t="shared" si="60"/>
        <v>900</v>
      </c>
      <c r="K137" s="34"/>
      <c r="L137" s="17">
        <f t="shared" si="58"/>
        <v>0</v>
      </c>
      <c r="M137" s="12"/>
      <c r="N137" s="17">
        <f t="shared" ref="N137:N168" si="67">F137/30/8*1.25*M137</f>
        <v>0</v>
      </c>
      <c r="O137" s="12"/>
      <c r="P137" s="17">
        <f t="shared" ref="P137:P168" si="68">F137/30/8*1.5*O137</f>
        <v>0</v>
      </c>
      <c r="Q137" s="12">
        <f t="shared" si="55"/>
        <v>31</v>
      </c>
      <c r="R137" s="12">
        <v>200</v>
      </c>
      <c r="S137" s="17">
        <f t="shared" ref="S137:S168" si="69">R137/G137*Q137</f>
        <v>200</v>
      </c>
      <c r="T137" s="12">
        <v>100</v>
      </c>
      <c r="U137" s="12">
        <v>0</v>
      </c>
      <c r="V137" s="12">
        <v>0</v>
      </c>
      <c r="W137" s="12">
        <v>0</v>
      </c>
      <c r="X137" s="17">
        <f t="shared" si="63"/>
        <v>1200</v>
      </c>
      <c r="Y137" s="12"/>
      <c r="Z137" s="19"/>
      <c r="AA137" s="17">
        <f t="shared" si="64"/>
        <v>900</v>
      </c>
      <c r="AB137" s="20">
        <f t="shared" ref="AB137:AB156" si="70">X137-AA137</f>
        <v>300</v>
      </c>
      <c r="AC137" s="20">
        <f t="shared" ref="AC137:AC168" si="71">AE137+AB137</f>
        <v>1200</v>
      </c>
      <c r="AD137" s="20">
        <f t="shared" ref="AD137:AD168" si="72">X137-AC137</f>
        <v>0</v>
      </c>
      <c r="AE137" s="17">
        <f>VLOOKUP(B137,[2]Sheet1!$B$4:$J$188,9,0)</f>
        <v>900</v>
      </c>
      <c r="AF137" s="20">
        <f t="shared" si="66"/>
        <v>300</v>
      </c>
      <c r="AG137" s="21" t="str">
        <f>VLOOKUP(B137,'[3]MASTER -COLOR CODE'!$B$6:$C$337,2,0)</f>
        <v>ALI RAZA</v>
      </c>
      <c r="AH137" s="21"/>
    </row>
    <row r="138" spans="1:34" s="22" customFormat="1" x14ac:dyDescent="0.25">
      <c r="A138" s="12">
        <v>137</v>
      </c>
      <c r="B138" s="13" t="s">
        <v>300</v>
      </c>
      <c r="C138" s="14" t="s">
        <v>301</v>
      </c>
      <c r="D138" s="15"/>
      <c r="E138" s="16"/>
      <c r="F138" s="17">
        <v>900</v>
      </c>
      <c r="G138" s="12">
        <v>31</v>
      </c>
      <c r="H138" s="12">
        <v>0</v>
      </c>
      <c r="I138" s="18">
        <f t="shared" si="59"/>
        <v>31</v>
      </c>
      <c r="J138" s="17">
        <f t="shared" si="60"/>
        <v>900</v>
      </c>
      <c r="K138" s="34"/>
      <c r="L138" s="17">
        <f t="shared" si="58"/>
        <v>0</v>
      </c>
      <c r="M138" s="12"/>
      <c r="N138" s="17">
        <f t="shared" si="67"/>
        <v>0</v>
      </c>
      <c r="O138" s="12"/>
      <c r="P138" s="17">
        <f t="shared" si="68"/>
        <v>0</v>
      </c>
      <c r="Q138" s="12">
        <f t="shared" si="55"/>
        <v>31</v>
      </c>
      <c r="R138" s="12">
        <v>200</v>
      </c>
      <c r="S138" s="17">
        <f t="shared" si="69"/>
        <v>200</v>
      </c>
      <c r="T138" s="12">
        <f>100/G138*I138</f>
        <v>100</v>
      </c>
      <c r="U138" s="12">
        <v>0</v>
      </c>
      <c r="V138" s="12">
        <v>0</v>
      </c>
      <c r="W138" s="12">
        <v>0</v>
      </c>
      <c r="X138" s="17">
        <f t="shared" si="63"/>
        <v>1200</v>
      </c>
      <c r="Y138" s="12"/>
      <c r="Z138" s="19"/>
      <c r="AA138" s="17">
        <f t="shared" si="64"/>
        <v>900</v>
      </c>
      <c r="AB138" s="20">
        <f t="shared" si="70"/>
        <v>300</v>
      </c>
      <c r="AC138" s="20">
        <f t="shared" si="71"/>
        <v>1200</v>
      </c>
      <c r="AD138" s="20">
        <f t="shared" si="72"/>
        <v>0</v>
      </c>
      <c r="AE138" s="17">
        <f>VLOOKUP(B138,[2]Sheet1!$B$4:$J$188,9,0)</f>
        <v>900</v>
      </c>
      <c r="AF138" s="20">
        <f t="shared" si="66"/>
        <v>300</v>
      </c>
      <c r="AG138" s="21" t="str">
        <f>VLOOKUP(B138,'[3]MASTER -COLOR CODE'!$B$6:$C$337,2,0)</f>
        <v>ISRAR SHAH ZAREEN SHAH</v>
      </c>
      <c r="AH138" s="21"/>
    </row>
    <row r="139" spans="1:34" s="22" customFormat="1" x14ac:dyDescent="0.25">
      <c r="A139" s="12">
        <v>138</v>
      </c>
      <c r="B139" s="13" t="s">
        <v>302</v>
      </c>
      <c r="C139" s="14" t="s">
        <v>303</v>
      </c>
      <c r="D139" s="15"/>
      <c r="E139" s="16"/>
      <c r="F139" s="17">
        <v>900</v>
      </c>
      <c r="G139" s="12">
        <v>31</v>
      </c>
      <c r="H139" s="12">
        <v>26</v>
      </c>
      <c r="I139" s="18">
        <f t="shared" si="59"/>
        <v>5</v>
      </c>
      <c r="J139" s="17">
        <f t="shared" si="60"/>
        <v>145.16129032258064</v>
      </c>
      <c r="K139" s="34"/>
      <c r="L139" s="17">
        <f t="shared" si="58"/>
        <v>0</v>
      </c>
      <c r="M139" s="12"/>
      <c r="N139" s="17">
        <f t="shared" si="67"/>
        <v>0</v>
      </c>
      <c r="O139" s="12"/>
      <c r="P139" s="17">
        <f t="shared" si="68"/>
        <v>0</v>
      </c>
      <c r="Q139" s="12">
        <f t="shared" si="55"/>
        <v>5</v>
      </c>
      <c r="R139" s="12">
        <v>200</v>
      </c>
      <c r="S139" s="17">
        <f t="shared" si="69"/>
        <v>32.258064516129032</v>
      </c>
      <c r="T139" s="12">
        <f>100/G139*I139</f>
        <v>16.129032258064516</v>
      </c>
      <c r="U139" s="12">
        <v>0</v>
      </c>
      <c r="V139" s="12">
        <v>0</v>
      </c>
      <c r="W139" s="12">
        <v>0</v>
      </c>
      <c r="X139" s="17">
        <f t="shared" si="63"/>
        <v>193.54838709677418</v>
      </c>
      <c r="Y139" s="12"/>
      <c r="Z139" s="19"/>
      <c r="AA139" s="17">
        <f t="shared" si="64"/>
        <v>145.16129032258064</v>
      </c>
      <c r="AB139" s="20">
        <f t="shared" si="70"/>
        <v>48.387096774193537</v>
      </c>
      <c r="AC139" s="20">
        <f t="shared" si="71"/>
        <v>918.38709677419354</v>
      </c>
      <c r="AD139" s="20">
        <f t="shared" si="72"/>
        <v>-724.83870967741939</v>
      </c>
      <c r="AE139" s="17">
        <f>VLOOKUP(B139,[2]Sheet1!$B$4:$J$188,9,0)</f>
        <v>870</v>
      </c>
      <c r="AF139" s="20">
        <f t="shared" si="66"/>
        <v>-676.45161290322585</v>
      </c>
      <c r="AG139" s="21" t="str">
        <f>VLOOKUP(B139,'[3]MASTER -COLOR CODE'!$B$6:$C$337,2,0)</f>
        <v>AMEER HUSSAIN MUHAMMAD ASLAM</v>
      </c>
      <c r="AH139" s="21"/>
    </row>
    <row r="140" spans="1:34" s="63" customFormat="1" x14ac:dyDescent="0.25">
      <c r="A140" s="53">
        <v>139</v>
      </c>
      <c r="B140" s="54" t="s">
        <v>304</v>
      </c>
      <c r="C140" s="55" t="s">
        <v>305</v>
      </c>
      <c r="D140" s="56"/>
      <c r="E140" s="57"/>
      <c r="F140" s="58">
        <v>900</v>
      </c>
      <c r="G140" s="53">
        <v>31</v>
      </c>
      <c r="H140" s="53">
        <v>0</v>
      </c>
      <c r="I140" s="59">
        <f t="shared" si="59"/>
        <v>31</v>
      </c>
      <c r="J140" s="58">
        <f t="shared" si="60"/>
        <v>900</v>
      </c>
      <c r="K140" s="53"/>
      <c r="L140" s="58">
        <f t="shared" si="58"/>
        <v>0</v>
      </c>
      <c r="M140" s="53"/>
      <c r="N140" s="58">
        <f t="shared" si="67"/>
        <v>0</v>
      </c>
      <c r="O140" s="53"/>
      <c r="P140" s="58">
        <f t="shared" si="68"/>
        <v>0</v>
      </c>
      <c r="Q140" s="53">
        <f t="shared" si="55"/>
        <v>31</v>
      </c>
      <c r="R140" s="53">
        <v>200</v>
      </c>
      <c r="S140" s="58">
        <f t="shared" si="69"/>
        <v>200</v>
      </c>
      <c r="T140" s="53">
        <v>0</v>
      </c>
      <c r="U140" s="53">
        <v>0</v>
      </c>
      <c r="V140" s="53">
        <v>0</v>
      </c>
      <c r="W140" s="53">
        <v>0</v>
      </c>
      <c r="X140" s="58">
        <f t="shared" si="63"/>
        <v>1100</v>
      </c>
      <c r="Y140" s="53"/>
      <c r="Z140" s="60"/>
      <c r="AA140" s="58">
        <v>0</v>
      </c>
      <c r="AB140" s="61">
        <f t="shared" si="70"/>
        <v>1100</v>
      </c>
      <c r="AC140" s="61">
        <f t="shared" si="71"/>
        <v>1670</v>
      </c>
      <c r="AD140" s="61">
        <f t="shared" si="72"/>
        <v>-570</v>
      </c>
      <c r="AE140" s="58">
        <f>VLOOKUP(B140,[2]Sheet1!$B$4:$J$188,9,0)</f>
        <v>570</v>
      </c>
      <c r="AF140" s="61">
        <f t="shared" si="66"/>
        <v>530</v>
      </c>
      <c r="AG140" s="62" t="str">
        <f>VLOOKUP(B140,'[3]MASTER -COLOR CODE'!$B$6:$C$337,2,0)</f>
        <v>RASHID MAQBOOL</v>
      </c>
      <c r="AH140" s="62"/>
    </row>
    <row r="141" spans="1:34" s="63" customFormat="1" x14ac:dyDescent="0.25">
      <c r="A141" s="53">
        <v>140</v>
      </c>
      <c r="B141" s="54" t="s">
        <v>306</v>
      </c>
      <c r="C141" s="55" t="s">
        <v>307</v>
      </c>
      <c r="D141" s="56"/>
      <c r="E141" s="57"/>
      <c r="F141" s="58">
        <v>700</v>
      </c>
      <c r="G141" s="53">
        <v>31</v>
      </c>
      <c r="H141" s="53">
        <v>31</v>
      </c>
      <c r="I141" s="59">
        <f t="shared" si="59"/>
        <v>0</v>
      </c>
      <c r="J141" s="58">
        <f t="shared" si="60"/>
        <v>0</v>
      </c>
      <c r="K141" s="53"/>
      <c r="L141" s="58">
        <f t="shared" si="58"/>
        <v>0</v>
      </c>
      <c r="M141" s="53"/>
      <c r="N141" s="58">
        <f t="shared" si="67"/>
        <v>0</v>
      </c>
      <c r="O141" s="53"/>
      <c r="P141" s="58">
        <f t="shared" si="68"/>
        <v>0</v>
      </c>
      <c r="Q141" s="53">
        <f t="shared" si="55"/>
        <v>0</v>
      </c>
      <c r="R141" s="53">
        <v>200</v>
      </c>
      <c r="S141" s="58">
        <f t="shared" si="69"/>
        <v>0</v>
      </c>
      <c r="T141" s="66">
        <v>0</v>
      </c>
      <c r="U141" s="53">
        <v>0</v>
      </c>
      <c r="V141" s="53">
        <v>0</v>
      </c>
      <c r="W141" s="53">
        <v>0</v>
      </c>
      <c r="X141" s="58">
        <f t="shared" si="63"/>
        <v>0</v>
      </c>
      <c r="Y141" s="53"/>
      <c r="Z141" s="60"/>
      <c r="AA141" s="58">
        <f t="shared" si="64"/>
        <v>0</v>
      </c>
      <c r="AB141" s="61">
        <f t="shared" si="70"/>
        <v>0</v>
      </c>
      <c r="AC141" s="61">
        <f t="shared" si="71"/>
        <v>537</v>
      </c>
      <c r="AD141" s="61">
        <f t="shared" si="72"/>
        <v>-537</v>
      </c>
      <c r="AE141" s="58">
        <f>VLOOKUP(B141,[2]Sheet1!$B$4:$J$188,9,0)</f>
        <v>537</v>
      </c>
      <c r="AF141" s="61">
        <f t="shared" si="66"/>
        <v>-537</v>
      </c>
      <c r="AG141" s="62" t="str">
        <f>VLOOKUP(B141,'[3]MASTER -COLOR CODE'!$B$6:$C$337,2,0)</f>
        <v>JAZIB ALI</v>
      </c>
      <c r="AH141" s="62"/>
    </row>
    <row r="142" spans="1:34" s="22" customFormat="1" x14ac:dyDescent="0.25">
      <c r="A142" s="12">
        <v>141</v>
      </c>
      <c r="B142" s="13" t="s">
        <v>308</v>
      </c>
      <c r="C142" s="14" t="s">
        <v>309</v>
      </c>
      <c r="D142" s="15"/>
      <c r="E142" s="16"/>
      <c r="F142" s="17">
        <v>700</v>
      </c>
      <c r="G142" s="12">
        <v>31</v>
      </c>
      <c r="H142" s="12">
        <v>2</v>
      </c>
      <c r="I142" s="18">
        <f t="shared" si="59"/>
        <v>29</v>
      </c>
      <c r="J142" s="17">
        <f t="shared" si="60"/>
        <v>654.83870967741939</v>
      </c>
      <c r="K142" s="34"/>
      <c r="L142" s="17">
        <f t="shared" si="58"/>
        <v>0</v>
      </c>
      <c r="M142" s="12"/>
      <c r="N142" s="17">
        <f t="shared" si="67"/>
        <v>0</v>
      </c>
      <c r="O142" s="12"/>
      <c r="P142" s="17">
        <f t="shared" si="68"/>
        <v>0</v>
      </c>
      <c r="Q142" s="12">
        <f t="shared" si="55"/>
        <v>29</v>
      </c>
      <c r="R142" s="12">
        <v>200</v>
      </c>
      <c r="S142" s="17">
        <f t="shared" si="69"/>
        <v>187.09677419354838</v>
      </c>
      <c r="T142" s="1">
        <v>0</v>
      </c>
      <c r="U142" s="12">
        <v>0</v>
      </c>
      <c r="V142" s="12">
        <v>0</v>
      </c>
      <c r="W142" s="12">
        <v>0</v>
      </c>
      <c r="X142" s="17">
        <f t="shared" si="63"/>
        <v>841.9354838709678</v>
      </c>
      <c r="Y142" s="12"/>
      <c r="Z142" s="19"/>
      <c r="AA142" s="17">
        <f t="shared" si="64"/>
        <v>654.83870967741939</v>
      </c>
      <c r="AB142" s="20">
        <f t="shared" si="70"/>
        <v>187.09677419354841</v>
      </c>
      <c r="AC142" s="20">
        <f t="shared" si="71"/>
        <v>560.09677419354841</v>
      </c>
      <c r="AD142" s="20">
        <f t="shared" si="72"/>
        <v>281.83870967741939</v>
      </c>
      <c r="AE142" s="17">
        <f>VLOOKUP(B142,[2]Sheet1!$B$4:$J$188,9,0)</f>
        <v>373</v>
      </c>
      <c r="AF142" s="20">
        <f t="shared" si="66"/>
        <v>468.9354838709678</v>
      </c>
      <c r="AG142" s="21" t="str">
        <f>VLOOKUP(B142,'[3]MASTER -COLOR CODE'!$B$6:$C$337,2,0)</f>
        <v>ZAIN HAYYAT</v>
      </c>
      <c r="AH142" s="21"/>
    </row>
    <row r="143" spans="1:34" s="22" customFormat="1" x14ac:dyDescent="0.25">
      <c r="A143" s="12">
        <v>142</v>
      </c>
      <c r="B143" s="13" t="s">
        <v>310</v>
      </c>
      <c r="C143" s="14" t="s">
        <v>311</v>
      </c>
      <c r="D143" s="15"/>
      <c r="E143" s="16"/>
      <c r="F143" s="17">
        <v>700</v>
      </c>
      <c r="G143" s="12">
        <v>31</v>
      </c>
      <c r="H143" s="12">
        <v>0</v>
      </c>
      <c r="I143" s="18">
        <f t="shared" si="59"/>
        <v>31</v>
      </c>
      <c r="J143" s="17">
        <f t="shared" si="60"/>
        <v>700</v>
      </c>
      <c r="K143" s="34"/>
      <c r="L143" s="17">
        <f t="shared" si="58"/>
        <v>0</v>
      </c>
      <c r="M143" s="12"/>
      <c r="N143" s="17">
        <f t="shared" si="67"/>
        <v>0</v>
      </c>
      <c r="O143" s="12"/>
      <c r="P143" s="17">
        <f t="shared" si="68"/>
        <v>0</v>
      </c>
      <c r="Q143" s="12">
        <f t="shared" si="55"/>
        <v>31</v>
      </c>
      <c r="R143" s="12">
        <v>200</v>
      </c>
      <c r="S143" s="17">
        <f t="shared" si="69"/>
        <v>200</v>
      </c>
      <c r="T143" s="1">
        <v>0</v>
      </c>
      <c r="U143" s="12">
        <v>0</v>
      </c>
      <c r="V143" s="12">
        <v>0</v>
      </c>
      <c r="W143" s="12">
        <v>0</v>
      </c>
      <c r="X143" s="17">
        <f t="shared" si="63"/>
        <v>900</v>
      </c>
      <c r="Y143" s="12"/>
      <c r="Z143" s="19"/>
      <c r="AA143" s="17">
        <f t="shared" si="64"/>
        <v>700</v>
      </c>
      <c r="AB143" s="20">
        <f t="shared" si="70"/>
        <v>200</v>
      </c>
      <c r="AC143" s="20">
        <f t="shared" si="71"/>
        <v>900</v>
      </c>
      <c r="AD143" s="20">
        <f t="shared" si="72"/>
        <v>0</v>
      </c>
      <c r="AE143" s="17">
        <f>VLOOKUP(B143,[2]Sheet1!$B$4:$J$188,9,0)</f>
        <v>700</v>
      </c>
      <c r="AF143" s="20">
        <f t="shared" si="66"/>
        <v>200</v>
      </c>
      <c r="AG143" s="21" t="str">
        <f>VLOOKUP(B143,'[3]MASTER -COLOR CODE'!$B$6:$C$337,2,0)</f>
        <v>FAYAZ ALAM</v>
      </c>
      <c r="AH143" s="21"/>
    </row>
    <row r="144" spans="1:34" s="22" customFormat="1" x14ac:dyDescent="0.25">
      <c r="A144" s="12">
        <v>143</v>
      </c>
      <c r="B144" s="13" t="s">
        <v>312</v>
      </c>
      <c r="C144" s="14" t="s">
        <v>313</v>
      </c>
      <c r="D144" s="15"/>
      <c r="E144" s="16"/>
      <c r="F144" s="17">
        <v>700</v>
      </c>
      <c r="G144" s="12">
        <v>31</v>
      </c>
      <c r="H144" s="12">
        <v>0</v>
      </c>
      <c r="I144" s="18">
        <f t="shared" si="59"/>
        <v>31</v>
      </c>
      <c r="J144" s="17">
        <f t="shared" si="60"/>
        <v>700</v>
      </c>
      <c r="K144" s="34"/>
      <c r="L144" s="17">
        <f t="shared" si="58"/>
        <v>0</v>
      </c>
      <c r="M144" s="12"/>
      <c r="N144" s="17">
        <f t="shared" si="67"/>
        <v>0</v>
      </c>
      <c r="O144" s="12"/>
      <c r="P144" s="17">
        <f t="shared" si="68"/>
        <v>0</v>
      </c>
      <c r="Q144" s="12">
        <f t="shared" si="55"/>
        <v>31</v>
      </c>
      <c r="R144" s="12">
        <v>200</v>
      </c>
      <c r="S144" s="17">
        <f t="shared" si="69"/>
        <v>200</v>
      </c>
      <c r="T144" s="1">
        <v>0</v>
      </c>
      <c r="U144" s="12">
        <v>0</v>
      </c>
      <c r="V144" s="12">
        <v>0</v>
      </c>
      <c r="W144" s="12">
        <v>0</v>
      </c>
      <c r="X144" s="17">
        <f t="shared" si="63"/>
        <v>900</v>
      </c>
      <c r="Y144" s="12"/>
      <c r="Z144" s="19"/>
      <c r="AA144" s="17">
        <f t="shared" si="64"/>
        <v>700</v>
      </c>
      <c r="AB144" s="20">
        <f t="shared" si="70"/>
        <v>200</v>
      </c>
      <c r="AC144" s="20">
        <f t="shared" si="71"/>
        <v>900</v>
      </c>
      <c r="AD144" s="20">
        <f t="shared" si="72"/>
        <v>0</v>
      </c>
      <c r="AE144" s="17">
        <f>VLOOKUP(B144,[2]Sheet1!$B$4:$J$188,9,0)</f>
        <v>700</v>
      </c>
      <c r="AF144" s="20">
        <f t="shared" si="66"/>
        <v>200</v>
      </c>
      <c r="AG144" s="21" t="str">
        <f>VLOOKUP(B144,'[3]MASTER -COLOR CODE'!$B$6:$C$337,2,0)</f>
        <v>SULTHAN</v>
      </c>
      <c r="AH144" s="21"/>
    </row>
    <row r="145" spans="1:34" s="22" customFormat="1" x14ac:dyDescent="0.25">
      <c r="A145" s="12">
        <v>144</v>
      </c>
      <c r="B145" s="13" t="s">
        <v>314</v>
      </c>
      <c r="C145" s="14" t="s">
        <v>315</v>
      </c>
      <c r="D145" s="15"/>
      <c r="E145" s="16"/>
      <c r="F145" s="17">
        <v>700</v>
      </c>
      <c r="G145" s="12">
        <v>31</v>
      </c>
      <c r="H145" s="12">
        <v>0</v>
      </c>
      <c r="I145" s="18">
        <f t="shared" si="59"/>
        <v>31</v>
      </c>
      <c r="J145" s="17">
        <f t="shared" si="60"/>
        <v>700</v>
      </c>
      <c r="K145" s="34"/>
      <c r="L145" s="17">
        <f t="shared" si="58"/>
        <v>0</v>
      </c>
      <c r="M145" s="12"/>
      <c r="N145" s="17">
        <f t="shared" si="67"/>
        <v>0</v>
      </c>
      <c r="O145" s="12"/>
      <c r="P145" s="17">
        <f t="shared" si="68"/>
        <v>0</v>
      </c>
      <c r="Q145" s="12">
        <f t="shared" si="55"/>
        <v>31</v>
      </c>
      <c r="R145" s="12">
        <v>200</v>
      </c>
      <c r="S145" s="17">
        <f t="shared" si="69"/>
        <v>200</v>
      </c>
      <c r="T145" s="1">
        <v>0</v>
      </c>
      <c r="U145" s="12">
        <v>0</v>
      </c>
      <c r="V145" s="12">
        <v>0</v>
      </c>
      <c r="W145" s="12">
        <v>0</v>
      </c>
      <c r="X145" s="17">
        <f t="shared" si="63"/>
        <v>900</v>
      </c>
      <c r="Y145" s="12"/>
      <c r="Z145" s="19"/>
      <c r="AA145" s="17">
        <f t="shared" si="64"/>
        <v>700</v>
      </c>
      <c r="AB145" s="20">
        <f t="shared" si="70"/>
        <v>200</v>
      </c>
      <c r="AC145" s="20">
        <f t="shared" si="71"/>
        <v>900</v>
      </c>
      <c r="AD145" s="20">
        <f t="shared" si="72"/>
        <v>0</v>
      </c>
      <c r="AE145" s="17">
        <f>VLOOKUP(B145,[2]Sheet1!$B$4:$J$188,9,0)</f>
        <v>700</v>
      </c>
      <c r="AF145" s="20">
        <f t="shared" si="66"/>
        <v>200</v>
      </c>
      <c r="AG145" s="21" t="str">
        <f>VLOOKUP(B145,'[3]MASTER -COLOR CODE'!$B$6:$C$337,2,0)</f>
        <v>SATTAR</v>
      </c>
      <c r="AH145" s="21"/>
    </row>
    <row r="146" spans="1:34" s="22" customFormat="1" x14ac:dyDescent="0.25">
      <c r="A146" s="12">
        <v>145</v>
      </c>
      <c r="B146" s="13" t="s">
        <v>316</v>
      </c>
      <c r="C146" s="14" t="s">
        <v>317</v>
      </c>
      <c r="D146" s="15"/>
      <c r="E146" s="16"/>
      <c r="F146" s="17">
        <v>700</v>
      </c>
      <c r="G146" s="12">
        <v>31</v>
      </c>
      <c r="H146" s="12">
        <v>1</v>
      </c>
      <c r="I146" s="18">
        <f t="shared" si="59"/>
        <v>30</v>
      </c>
      <c r="J146" s="17">
        <f t="shared" si="60"/>
        <v>677.41935483870975</v>
      </c>
      <c r="K146" s="34"/>
      <c r="L146" s="17">
        <f t="shared" si="58"/>
        <v>0</v>
      </c>
      <c r="M146" s="12"/>
      <c r="N146" s="17">
        <f t="shared" si="67"/>
        <v>0</v>
      </c>
      <c r="O146" s="12"/>
      <c r="P146" s="17">
        <f t="shared" si="68"/>
        <v>0</v>
      </c>
      <c r="Q146" s="12">
        <f t="shared" si="55"/>
        <v>30</v>
      </c>
      <c r="R146" s="12">
        <v>200</v>
      </c>
      <c r="S146" s="17">
        <f t="shared" si="69"/>
        <v>193.54838709677418</v>
      </c>
      <c r="T146" s="1">
        <v>0</v>
      </c>
      <c r="U146" s="12">
        <v>0</v>
      </c>
      <c r="V146" s="12">
        <v>0</v>
      </c>
      <c r="W146" s="12">
        <v>0</v>
      </c>
      <c r="X146" s="17">
        <f t="shared" si="63"/>
        <v>870.9677419354839</v>
      </c>
      <c r="Y146" s="12"/>
      <c r="Z146" s="19"/>
      <c r="AA146" s="17">
        <f t="shared" si="64"/>
        <v>677.41935483870975</v>
      </c>
      <c r="AB146" s="20">
        <f t="shared" si="70"/>
        <v>193.54838709677415</v>
      </c>
      <c r="AC146" s="20">
        <f t="shared" si="71"/>
        <v>893.54838709677415</v>
      </c>
      <c r="AD146" s="20">
        <f t="shared" si="72"/>
        <v>-22.580645161290249</v>
      </c>
      <c r="AE146" s="17">
        <f>VLOOKUP(B146,[2]Sheet1!$B$4:$J$188,9,0)</f>
        <v>700</v>
      </c>
      <c r="AF146" s="20">
        <f t="shared" si="66"/>
        <v>170.9677419354839</v>
      </c>
      <c r="AG146" s="21" t="str">
        <f>VLOOKUP(B146,'[3]MASTER -COLOR CODE'!$B$6:$C$337,2,0)</f>
        <v>TASAWAR KHAN</v>
      </c>
      <c r="AH146" s="21"/>
    </row>
    <row r="147" spans="1:34" s="22" customFormat="1" x14ac:dyDescent="0.25">
      <c r="A147" s="12">
        <v>146</v>
      </c>
      <c r="B147" s="13" t="s">
        <v>318</v>
      </c>
      <c r="C147" s="14" t="s">
        <v>319</v>
      </c>
      <c r="D147" s="15"/>
      <c r="E147" s="16"/>
      <c r="F147" s="17">
        <v>700</v>
      </c>
      <c r="G147" s="12">
        <v>31</v>
      </c>
      <c r="H147" s="12">
        <v>0</v>
      </c>
      <c r="I147" s="18">
        <f t="shared" si="59"/>
        <v>31</v>
      </c>
      <c r="J147" s="17">
        <f t="shared" si="60"/>
        <v>700</v>
      </c>
      <c r="K147" s="34"/>
      <c r="L147" s="17">
        <f t="shared" si="58"/>
        <v>0</v>
      </c>
      <c r="M147" s="12"/>
      <c r="N147" s="17">
        <f t="shared" si="67"/>
        <v>0</v>
      </c>
      <c r="O147" s="12"/>
      <c r="P147" s="17">
        <f t="shared" si="68"/>
        <v>0</v>
      </c>
      <c r="Q147" s="12">
        <f t="shared" si="55"/>
        <v>31</v>
      </c>
      <c r="R147" s="12">
        <v>200</v>
      </c>
      <c r="S147" s="17">
        <f t="shared" si="69"/>
        <v>200</v>
      </c>
      <c r="T147" s="1">
        <v>0</v>
      </c>
      <c r="U147" s="12">
        <v>0</v>
      </c>
      <c r="V147" s="12">
        <v>0</v>
      </c>
      <c r="W147" s="12">
        <v>0</v>
      </c>
      <c r="X147" s="17">
        <f t="shared" si="63"/>
        <v>900</v>
      </c>
      <c r="Y147" s="12"/>
      <c r="Z147" s="19"/>
      <c r="AA147" s="17">
        <f t="shared" si="64"/>
        <v>700</v>
      </c>
      <c r="AB147" s="20">
        <f t="shared" si="70"/>
        <v>200</v>
      </c>
      <c r="AC147" s="20">
        <f t="shared" si="71"/>
        <v>900</v>
      </c>
      <c r="AD147" s="20">
        <f t="shared" si="72"/>
        <v>0</v>
      </c>
      <c r="AE147" s="17">
        <f>VLOOKUP(B147,[2]Sheet1!$B$4:$J$188,9,0)</f>
        <v>700</v>
      </c>
      <c r="AF147" s="20">
        <f t="shared" si="66"/>
        <v>200</v>
      </c>
      <c r="AG147" s="21" t="str">
        <f>VLOOKUP(B147,'[3]MASTER -COLOR CODE'!$B$6:$C$337,2,0)</f>
        <v>JAMROZ KHAN</v>
      </c>
      <c r="AH147" s="21"/>
    </row>
    <row r="148" spans="1:34" s="22" customFormat="1" x14ac:dyDescent="0.25">
      <c r="A148" s="12">
        <v>147</v>
      </c>
      <c r="B148" s="13" t="s">
        <v>320</v>
      </c>
      <c r="C148" s="14" t="s">
        <v>321</v>
      </c>
      <c r="D148" s="15"/>
      <c r="E148" s="16"/>
      <c r="F148" s="17">
        <v>700</v>
      </c>
      <c r="G148" s="12">
        <v>31</v>
      </c>
      <c r="H148" s="12">
        <v>0</v>
      </c>
      <c r="I148" s="18">
        <f t="shared" si="59"/>
        <v>31</v>
      </c>
      <c r="J148" s="17">
        <f t="shared" si="60"/>
        <v>700</v>
      </c>
      <c r="K148" s="34"/>
      <c r="L148" s="17">
        <f t="shared" si="58"/>
        <v>0</v>
      </c>
      <c r="M148" s="12"/>
      <c r="N148" s="17">
        <f t="shared" si="67"/>
        <v>0</v>
      </c>
      <c r="O148" s="12"/>
      <c r="P148" s="17">
        <f t="shared" si="68"/>
        <v>0</v>
      </c>
      <c r="Q148" s="12">
        <f t="shared" si="55"/>
        <v>31</v>
      </c>
      <c r="R148" s="12">
        <v>200</v>
      </c>
      <c r="S148" s="17">
        <f t="shared" si="69"/>
        <v>200</v>
      </c>
      <c r="T148" s="1">
        <v>0</v>
      </c>
      <c r="U148" s="12">
        <v>0</v>
      </c>
      <c r="V148" s="12">
        <v>0</v>
      </c>
      <c r="W148" s="12">
        <v>0</v>
      </c>
      <c r="X148" s="17">
        <f t="shared" si="63"/>
        <v>900</v>
      </c>
      <c r="Y148" s="12"/>
      <c r="Z148" s="19"/>
      <c r="AA148" s="17">
        <f t="shared" si="64"/>
        <v>700</v>
      </c>
      <c r="AB148" s="20">
        <f t="shared" si="70"/>
        <v>200</v>
      </c>
      <c r="AC148" s="20">
        <f t="shared" si="71"/>
        <v>900</v>
      </c>
      <c r="AD148" s="20">
        <f t="shared" si="72"/>
        <v>0</v>
      </c>
      <c r="AE148" s="17">
        <f>VLOOKUP(B148,[2]Sheet1!$B$4:$J$188,9,0)</f>
        <v>700</v>
      </c>
      <c r="AF148" s="20">
        <f t="shared" si="66"/>
        <v>200</v>
      </c>
      <c r="AG148" s="21" t="str">
        <f>VLOOKUP(B148,'[3]MASTER -COLOR CODE'!$B$6:$C$337,2,0)</f>
        <v>MUHAMMAD FAIZAN</v>
      </c>
      <c r="AH148" s="21"/>
    </row>
    <row r="149" spans="1:34" s="22" customFormat="1" x14ac:dyDescent="0.25">
      <c r="A149" s="12">
        <v>148</v>
      </c>
      <c r="B149" s="13" t="s">
        <v>322</v>
      </c>
      <c r="C149" s="14" t="s">
        <v>323</v>
      </c>
      <c r="D149" s="15"/>
      <c r="E149" s="16"/>
      <c r="F149" s="17">
        <v>900</v>
      </c>
      <c r="G149" s="12">
        <v>31</v>
      </c>
      <c r="H149" s="12">
        <v>0</v>
      </c>
      <c r="I149" s="18">
        <f t="shared" si="59"/>
        <v>31</v>
      </c>
      <c r="J149" s="17">
        <f t="shared" si="60"/>
        <v>900</v>
      </c>
      <c r="K149" s="34"/>
      <c r="L149" s="17">
        <f t="shared" si="58"/>
        <v>0</v>
      </c>
      <c r="M149" s="12"/>
      <c r="N149" s="17">
        <f t="shared" si="67"/>
        <v>0</v>
      </c>
      <c r="O149" s="12"/>
      <c r="P149" s="17">
        <f t="shared" si="68"/>
        <v>0</v>
      </c>
      <c r="Q149" s="12">
        <f t="shared" si="55"/>
        <v>31</v>
      </c>
      <c r="R149" s="12">
        <v>200</v>
      </c>
      <c r="S149" s="17">
        <f t="shared" si="69"/>
        <v>200</v>
      </c>
      <c r="T149" s="12">
        <v>0</v>
      </c>
      <c r="U149" s="12">
        <v>0</v>
      </c>
      <c r="V149" s="12">
        <v>0</v>
      </c>
      <c r="W149" s="12">
        <v>0</v>
      </c>
      <c r="X149" s="17">
        <f t="shared" si="63"/>
        <v>1100</v>
      </c>
      <c r="Y149" s="12"/>
      <c r="Z149" s="19"/>
      <c r="AA149" s="17">
        <f t="shared" si="64"/>
        <v>900</v>
      </c>
      <c r="AB149" s="20">
        <f t="shared" si="70"/>
        <v>200</v>
      </c>
      <c r="AC149" s="20">
        <f t="shared" si="71"/>
        <v>1100</v>
      </c>
      <c r="AD149" s="20">
        <f t="shared" si="72"/>
        <v>0</v>
      </c>
      <c r="AE149" s="17">
        <f>VLOOKUP(B149,[2]Sheet1!$B$4:$J$188,9,0)</f>
        <v>900</v>
      </c>
      <c r="AF149" s="20">
        <f t="shared" si="66"/>
        <v>200</v>
      </c>
      <c r="AG149" s="21" t="str">
        <f>VLOOKUP(B149,'[3]MASTER -COLOR CODE'!$B$6:$C$337,2,0)</f>
        <v>USMAN AHMAD</v>
      </c>
      <c r="AH149" s="21"/>
    </row>
    <row r="150" spans="1:34" s="22" customFormat="1" x14ac:dyDescent="0.25">
      <c r="A150" s="12">
        <v>149</v>
      </c>
      <c r="B150" s="13" t="s">
        <v>324</v>
      </c>
      <c r="C150" s="14" t="s">
        <v>325</v>
      </c>
      <c r="D150" s="15"/>
      <c r="E150" s="16"/>
      <c r="F150" s="17">
        <v>700</v>
      </c>
      <c r="G150" s="12">
        <v>31</v>
      </c>
      <c r="H150" s="12">
        <v>1</v>
      </c>
      <c r="I150" s="18">
        <f t="shared" si="59"/>
        <v>30</v>
      </c>
      <c r="J150" s="17">
        <f t="shared" si="60"/>
        <v>677.41935483870975</v>
      </c>
      <c r="K150" s="34"/>
      <c r="L150" s="17">
        <f t="shared" si="58"/>
        <v>0</v>
      </c>
      <c r="M150" s="12"/>
      <c r="N150" s="17">
        <f t="shared" si="67"/>
        <v>0</v>
      </c>
      <c r="O150" s="12"/>
      <c r="P150" s="17">
        <f t="shared" si="68"/>
        <v>0</v>
      </c>
      <c r="Q150" s="12">
        <f t="shared" si="55"/>
        <v>30</v>
      </c>
      <c r="R150" s="12">
        <v>200</v>
      </c>
      <c r="S150" s="17">
        <f t="shared" si="69"/>
        <v>193.54838709677418</v>
      </c>
      <c r="T150" s="1">
        <v>0</v>
      </c>
      <c r="U150" s="12">
        <v>0</v>
      </c>
      <c r="V150" s="12">
        <v>0</v>
      </c>
      <c r="W150" s="12">
        <v>0</v>
      </c>
      <c r="X150" s="17">
        <f t="shared" si="63"/>
        <v>870.9677419354839</v>
      </c>
      <c r="Y150" s="12"/>
      <c r="Z150" s="19"/>
      <c r="AA150" s="17">
        <f t="shared" si="64"/>
        <v>677.41935483870975</v>
      </c>
      <c r="AB150" s="20">
        <f t="shared" si="70"/>
        <v>193.54838709677415</v>
      </c>
      <c r="AC150" s="20">
        <f t="shared" si="71"/>
        <v>590.54838709677415</v>
      </c>
      <c r="AD150" s="20">
        <f t="shared" si="72"/>
        <v>280.41935483870975</v>
      </c>
      <c r="AE150" s="17">
        <f>VLOOKUP(B150,[2]Sheet1!$B$4:$J$188,9,0)</f>
        <v>397</v>
      </c>
      <c r="AF150" s="20">
        <f t="shared" si="66"/>
        <v>473.9677419354839</v>
      </c>
      <c r="AG150" s="21" t="str">
        <f>VLOOKUP(B150,'[3]MASTER -COLOR CODE'!$B$6:$C$337,2,0)</f>
        <v>IRFAN AHMED</v>
      </c>
      <c r="AH150" s="21"/>
    </row>
    <row r="151" spans="1:34" s="22" customFormat="1" x14ac:dyDescent="0.25">
      <c r="A151" s="12">
        <v>150</v>
      </c>
      <c r="B151" s="13" t="s">
        <v>326</v>
      </c>
      <c r="C151" s="14" t="s">
        <v>327</v>
      </c>
      <c r="D151" s="15"/>
      <c r="E151" s="16"/>
      <c r="F151" s="17">
        <v>700</v>
      </c>
      <c r="G151" s="12">
        <v>31</v>
      </c>
      <c r="H151" s="12">
        <v>0</v>
      </c>
      <c r="I151" s="18">
        <f t="shared" si="59"/>
        <v>31</v>
      </c>
      <c r="J151" s="17">
        <f t="shared" si="60"/>
        <v>700</v>
      </c>
      <c r="K151" s="34"/>
      <c r="L151" s="17">
        <f t="shared" si="58"/>
        <v>0</v>
      </c>
      <c r="M151" s="12"/>
      <c r="N151" s="17">
        <f t="shared" si="67"/>
        <v>0</v>
      </c>
      <c r="O151" s="12"/>
      <c r="P151" s="17">
        <f t="shared" si="68"/>
        <v>0</v>
      </c>
      <c r="Q151" s="12">
        <f t="shared" si="55"/>
        <v>31</v>
      </c>
      <c r="R151" s="12">
        <v>200</v>
      </c>
      <c r="S151" s="17">
        <f t="shared" si="69"/>
        <v>200</v>
      </c>
      <c r="T151" s="1">
        <v>0</v>
      </c>
      <c r="U151" s="12">
        <v>0</v>
      </c>
      <c r="V151" s="12">
        <v>0</v>
      </c>
      <c r="W151" s="12">
        <v>0</v>
      </c>
      <c r="X151" s="17">
        <f t="shared" si="63"/>
        <v>900</v>
      </c>
      <c r="Y151" s="12"/>
      <c r="Z151" s="19"/>
      <c r="AA151" s="17">
        <f t="shared" si="64"/>
        <v>700</v>
      </c>
      <c r="AB151" s="20">
        <f t="shared" si="70"/>
        <v>200</v>
      </c>
      <c r="AC151" s="20">
        <f t="shared" si="71"/>
        <v>853</v>
      </c>
      <c r="AD151" s="20">
        <f t="shared" si="72"/>
        <v>47</v>
      </c>
      <c r="AE151" s="17">
        <f>VLOOKUP(B151,[2]Sheet1!$B$4:$J$188,9,0)</f>
        <v>653</v>
      </c>
      <c r="AF151" s="20">
        <f t="shared" si="66"/>
        <v>247</v>
      </c>
      <c r="AG151" s="21" t="str">
        <f>VLOOKUP(B151,'[3]MASTER -COLOR CODE'!$B$6:$C$337,2,0)</f>
        <v>AMIR SOHAIL</v>
      </c>
      <c r="AH151" s="21"/>
    </row>
    <row r="152" spans="1:34" s="22" customFormat="1" x14ac:dyDescent="0.25">
      <c r="A152" s="12">
        <v>151</v>
      </c>
      <c r="B152" s="13" t="s">
        <v>328</v>
      </c>
      <c r="C152" s="14" t="s">
        <v>329</v>
      </c>
      <c r="D152" s="15"/>
      <c r="E152" s="16"/>
      <c r="F152" s="17">
        <v>700</v>
      </c>
      <c r="G152" s="12">
        <v>31</v>
      </c>
      <c r="H152" s="12">
        <v>0</v>
      </c>
      <c r="I152" s="18">
        <f t="shared" si="59"/>
        <v>31</v>
      </c>
      <c r="J152" s="17">
        <f t="shared" si="60"/>
        <v>700</v>
      </c>
      <c r="K152" s="34"/>
      <c r="L152" s="17">
        <f t="shared" si="58"/>
        <v>0</v>
      </c>
      <c r="M152" s="12"/>
      <c r="N152" s="17">
        <f t="shared" si="67"/>
        <v>0</v>
      </c>
      <c r="O152" s="12"/>
      <c r="P152" s="17">
        <f t="shared" si="68"/>
        <v>0</v>
      </c>
      <c r="Q152" s="12">
        <f t="shared" si="55"/>
        <v>31</v>
      </c>
      <c r="R152" s="12">
        <v>200</v>
      </c>
      <c r="S152" s="17">
        <f t="shared" si="69"/>
        <v>200</v>
      </c>
      <c r="T152" s="1">
        <v>0</v>
      </c>
      <c r="U152" s="12">
        <v>0</v>
      </c>
      <c r="V152" s="12">
        <v>0</v>
      </c>
      <c r="W152" s="12">
        <v>0</v>
      </c>
      <c r="X152" s="17">
        <f t="shared" si="63"/>
        <v>900</v>
      </c>
      <c r="Y152" s="12"/>
      <c r="Z152" s="19"/>
      <c r="AA152" s="17">
        <f t="shared" si="64"/>
        <v>700</v>
      </c>
      <c r="AB152" s="20">
        <f t="shared" si="70"/>
        <v>200</v>
      </c>
      <c r="AC152" s="20">
        <f t="shared" si="71"/>
        <v>573</v>
      </c>
      <c r="AD152" s="20">
        <f t="shared" si="72"/>
        <v>327</v>
      </c>
      <c r="AE152" s="17">
        <f>VLOOKUP(B152,[2]Sheet1!$B$4:$J$188,9,0)</f>
        <v>373</v>
      </c>
      <c r="AF152" s="20">
        <f t="shared" si="66"/>
        <v>527</v>
      </c>
      <c r="AG152" s="21" t="str">
        <f>VLOOKUP(B152,'[3]MASTER -COLOR CODE'!$B$6:$C$337,2,0)</f>
        <v>USMAN NAJEEB NAJEEB ULLAH</v>
      </c>
      <c r="AH152" s="21"/>
    </row>
    <row r="153" spans="1:34" s="22" customFormat="1" x14ac:dyDescent="0.25">
      <c r="A153" s="12">
        <v>152</v>
      </c>
      <c r="B153" s="13" t="s">
        <v>330</v>
      </c>
      <c r="C153" s="14" t="s">
        <v>331</v>
      </c>
      <c r="D153" s="15"/>
      <c r="E153" s="16"/>
      <c r="F153" s="17">
        <v>700</v>
      </c>
      <c r="G153" s="12">
        <v>31</v>
      </c>
      <c r="H153" s="12">
        <v>0</v>
      </c>
      <c r="I153" s="18">
        <f t="shared" si="59"/>
        <v>31</v>
      </c>
      <c r="J153" s="17">
        <f t="shared" si="60"/>
        <v>700</v>
      </c>
      <c r="K153" s="34"/>
      <c r="L153" s="17">
        <f t="shared" si="58"/>
        <v>0</v>
      </c>
      <c r="M153" s="12"/>
      <c r="N153" s="17">
        <f t="shared" si="67"/>
        <v>0</v>
      </c>
      <c r="O153" s="12"/>
      <c r="P153" s="17">
        <f t="shared" si="68"/>
        <v>0</v>
      </c>
      <c r="Q153" s="12">
        <f t="shared" si="55"/>
        <v>31</v>
      </c>
      <c r="R153" s="12">
        <v>200</v>
      </c>
      <c r="S153" s="17">
        <f t="shared" si="69"/>
        <v>200</v>
      </c>
      <c r="T153" s="1">
        <v>0</v>
      </c>
      <c r="U153" s="12">
        <v>0</v>
      </c>
      <c r="V153" s="12">
        <v>0</v>
      </c>
      <c r="W153" s="12">
        <v>0</v>
      </c>
      <c r="X153" s="17">
        <f t="shared" si="63"/>
        <v>900</v>
      </c>
      <c r="Y153" s="12"/>
      <c r="Z153" s="19"/>
      <c r="AA153" s="17">
        <f t="shared" si="64"/>
        <v>700</v>
      </c>
      <c r="AB153" s="20">
        <f t="shared" si="70"/>
        <v>200</v>
      </c>
      <c r="AC153" s="20">
        <f t="shared" si="71"/>
        <v>900</v>
      </c>
      <c r="AD153" s="20">
        <f t="shared" si="72"/>
        <v>0</v>
      </c>
      <c r="AE153" s="17">
        <f>VLOOKUP(B153,[2]Sheet1!$B$4:$J$188,9,0)</f>
        <v>700</v>
      </c>
      <c r="AF153" s="20">
        <f t="shared" si="66"/>
        <v>200</v>
      </c>
      <c r="AG153" s="21" t="str">
        <f>VLOOKUP(B153,'[3]MASTER -COLOR CODE'!$B$6:$C$337,2,0)</f>
        <v>ZULQARNAIN MUHAMMAD HUSSAIN</v>
      </c>
      <c r="AH153" s="21"/>
    </row>
    <row r="154" spans="1:34" s="22" customFormat="1" x14ac:dyDescent="0.25">
      <c r="A154" s="12">
        <v>153</v>
      </c>
      <c r="B154" s="13" t="s">
        <v>332</v>
      </c>
      <c r="C154" s="14" t="s">
        <v>333</v>
      </c>
      <c r="D154" s="15"/>
      <c r="E154" s="16"/>
      <c r="F154" s="17">
        <v>700</v>
      </c>
      <c r="G154" s="12">
        <v>31</v>
      </c>
      <c r="H154" s="12">
        <v>0</v>
      </c>
      <c r="I154" s="18">
        <f t="shared" si="59"/>
        <v>31</v>
      </c>
      <c r="J154" s="17">
        <f t="shared" si="60"/>
        <v>700</v>
      </c>
      <c r="K154" s="34"/>
      <c r="L154" s="17">
        <f t="shared" si="58"/>
        <v>0</v>
      </c>
      <c r="M154" s="12"/>
      <c r="N154" s="17">
        <f t="shared" si="67"/>
        <v>0</v>
      </c>
      <c r="O154" s="12"/>
      <c r="P154" s="17">
        <f t="shared" si="68"/>
        <v>0</v>
      </c>
      <c r="Q154" s="12">
        <f t="shared" si="55"/>
        <v>31</v>
      </c>
      <c r="R154" s="12">
        <v>200</v>
      </c>
      <c r="S154" s="17">
        <f t="shared" si="69"/>
        <v>200</v>
      </c>
      <c r="T154" s="1">
        <v>0</v>
      </c>
      <c r="U154" s="12">
        <v>0</v>
      </c>
      <c r="V154" s="12">
        <v>0</v>
      </c>
      <c r="W154" s="12">
        <v>0</v>
      </c>
      <c r="X154" s="17">
        <f t="shared" si="63"/>
        <v>900</v>
      </c>
      <c r="Y154" s="12"/>
      <c r="Z154" s="19"/>
      <c r="AA154" s="17">
        <f t="shared" si="64"/>
        <v>700</v>
      </c>
      <c r="AB154" s="20">
        <f t="shared" si="70"/>
        <v>200</v>
      </c>
      <c r="AC154" s="20">
        <f t="shared" si="71"/>
        <v>900</v>
      </c>
      <c r="AD154" s="20">
        <f t="shared" si="72"/>
        <v>0</v>
      </c>
      <c r="AE154" s="17">
        <f>VLOOKUP(B154,[2]Sheet1!$B$4:$J$188,9,0)</f>
        <v>700</v>
      </c>
      <c r="AF154" s="20">
        <f t="shared" si="66"/>
        <v>200</v>
      </c>
      <c r="AG154" s="21" t="str">
        <f>VLOOKUP(B154,'[3]MASTER -COLOR CODE'!$B$6:$C$337,2,0)</f>
        <v>WAHEED ULLAH KHAN NOOR KHAN</v>
      </c>
      <c r="AH154" s="21"/>
    </row>
    <row r="155" spans="1:34" s="22" customFormat="1" x14ac:dyDescent="0.25">
      <c r="A155" s="12">
        <v>154</v>
      </c>
      <c r="B155" s="13" t="s">
        <v>334</v>
      </c>
      <c r="C155" s="14" t="s">
        <v>335</v>
      </c>
      <c r="D155" s="15"/>
      <c r="E155" s="16"/>
      <c r="F155" s="17">
        <v>700</v>
      </c>
      <c r="G155" s="12">
        <v>31</v>
      </c>
      <c r="H155" s="12">
        <v>24</v>
      </c>
      <c r="I155" s="18">
        <f t="shared" si="59"/>
        <v>7</v>
      </c>
      <c r="J155" s="17">
        <f t="shared" si="60"/>
        <v>158.06451612903226</v>
      </c>
      <c r="K155" s="34"/>
      <c r="L155" s="17">
        <f t="shared" si="58"/>
        <v>0</v>
      </c>
      <c r="M155" s="12"/>
      <c r="N155" s="17">
        <f t="shared" si="67"/>
        <v>0</v>
      </c>
      <c r="O155" s="12"/>
      <c r="P155" s="17">
        <f t="shared" si="68"/>
        <v>0</v>
      </c>
      <c r="Q155" s="12">
        <f t="shared" si="55"/>
        <v>7</v>
      </c>
      <c r="R155" s="12">
        <v>200</v>
      </c>
      <c r="S155" s="17">
        <f t="shared" si="69"/>
        <v>45.161290322580641</v>
      </c>
      <c r="T155" s="1">
        <v>0</v>
      </c>
      <c r="U155" s="12">
        <v>0</v>
      </c>
      <c r="V155" s="12">
        <v>0</v>
      </c>
      <c r="W155" s="12">
        <v>0</v>
      </c>
      <c r="X155" s="17">
        <f t="shared" si="63"/>
        <v>203.2258064516129</v>
      </c>
      <c r="Y155" s="12"/>
      <c r="Z155" s="19"/>
      <c r="AA155" s="17">
        <f t="shared" si="64"/>
        <v>158.06451612903226</v>
      </c>
      <c r="AB155" s="20">
        <f t="shared" si="70"/>
        <v>45.161290322580641</v>
      </c>
      <c r="AC155" s="20">
        <f t="shared" si="71"/>
        <v>652.16129032258061</v>
      </c>
      <c r="AD155" s="20">
        <f t="shared" si="72"/>
        <v>-448.93548387096769</v>
      </c>
      <c r="AE155" s="17">
        <f>VLOOKUP(B155,[2]Sheet1!$B$4:$J$188,9,0)</f>
        <v>607</v>
      </c>
      <c r="AF155" s="20">
        <f t="shared" si="66"/>
        <v>-403.77419354838707</v>
      </c>
      <c r="AG155" s="21" t="str">
        <f>VLOOKUP(B155,'[3]MASTER -COLOR CODE'!$B$6:$C$337,2,0)</f>
        <v>SULIMAN KHAN ALI BAHADAR</v>
      </c>
      <c r="AH155" s="21"/>
    </row>
    <row r="156" spans="1:34" s="22" customFormat="1" x14ac:dyDescent="0.25">
      <c r="A156" s="12">
        <v>155</v>
      </c>
      <c r="B156" s="13" t="s">
        <v>336</v>
      </c>
      <c r="C156" s="14" t="s">
        <v>337</v>
      </c>
      <c r="D156" s="15"/>
      <c r="E156" s="16"/>
      <c r="F156" s="17">
        <v>700</v>
      </c>
      <c r="G156" s="12">
        <v>31</v>
      </c>
      <c r="H156" s="12">
        <v>0</v>
      </c>
      <c r="I156" s="18">
        <f t="shared" si="59"/>
        <v>31</v>
      </c>
      <c r="J156" s="17">
        <f t="shared" si="60"/>
        <v>700</v>
      </c>
      <c r="K156" s="34"/>
      <c r="L156" s="17">
        <f t="shared" si="58"/>
        <v>0</v>
      </c>
      <c r="M156" s="12"/>
      <c r="N156" s="17">
        <f t="shared" si="67"/>
        <v>0</v>
      </c>
      <c r="O156" s="12"/>
      <c r="P156" s="17">
        <f t="shared" si="68"/>
        <v>0</v>
      </c>
      <c r="Q156" s="12">
        <f t="shared" si="55"/>
        <v>31</v>
      </c>
      <c r="R156" s="12">
        <v>200</v>
      </c>
      <c r="S156" s="17">
        <f t="shared" si="69"/>
        <v>200</v>
      </c>
      <c r="T156" s="1">
        <v>0</v>
      </c>
      <c r="U156" s="12">
        <v>0</v>
      </c>
      <c r="V156" s="12">
        <v>0</v>
      </c>
      <c r="W156" s="12">
        <v>0</v>
      </c>
      <c r="X156" s="17">
        <f t="shared" si="63"/>
        <v>900</v>
      </c>
      <c r="Y156" s="12"/>
      <c r="Z156" s="19"/>
      <c r="AA156" s="17">
        <f t="shared" si="64"/>
        <v>700</v>
      </c>
      <c r="AB156" s="20">
        <f t="shared" si="70"/>
        <v>200</v>
      </c>
      <c r="AC156" s="20">
        <f t="shared" si="71"/>
        <v>597</v>
      </c>
      <c r="AD156" s="20">
        <f t="shared" si="72"/>
        <v>303</v>
      </c>
      <c r="AE156" s="17">
        <f>VLOOKUP(B156,[2]Sheet1!$B$4:$J$188,9,0)</f>
        <v>397</v>
      </c>
      <c r="AF156" s="20">
        <f t="shared" si="66"/>
        <v>503</v>
      </c>
      <c r="AG156" s="21" t="str">
        <f>VLOOKUP(B156,'[3]MASTER -COLOR CODE'!$B$6:$C$337,2,0)</f>
        <v>RAHMAN ALI MUHAMMAD KARAM</v>
      </c>
      <c r="AH156" s="21"/>
    </row>
    <row r="157" spans="1:34" s="22" customFormat="1" x14ac:dyDescent="0.25">
      <c r="A157" s="12">
        <v>156</v>
      </c>
      <c r="B157" s="13" t="s">
        <v>338</v>
      </c>
      <c r="C157" s="14" t="s">
        <v>339</v>
      </c>
      <c r="D157" s="15"/>
      <c r="E157" s="16">
        <v>700</v>
      </c>
      <c r="F157" s="17">
        <v>700</v>
      </c>
      <c r="G157" s="12">
        <v>31</v>
      </c>
      <c r="H157" s="12">
        <v>0</v>
      </c>
      <c r="I157" s="18">
        <f t="shared" si="59"/>
        <v>31</v>
      </c>
      <c r="J157" s="17">
        <f t="shared" si="60"/>
        <v>700</v>
      </c>
      <c r="K157" s="34"/>
      <c r="L157" s="17">
        <f t="shared" si="58"/>
        <v>0</v>
      </c>
      <c r="M157" s="12"/>
      <c r="N157" s="17">
        <f t="shared" si="67"/>
        <v>0</v>
      </c>
      <c r="O157" s="12"/>
      <c r="P157" s="17">
        <f t="shared" si="68"/>
        <v>0</v>
      </c>
      <c r="Q157" s="12">
        <f t="shared" si="55"/>
        <v>31</v>
      </c>
      <c r="R157" s="12">
        <v>200</v>
      </c>
      <c r="S157" s="17">
        <f t="shared" si="69"/>
        <v>200</v>
      </c>
      <c r="T157" s="12">
        <v>0</v>
      </c>
      <c r="U157" s="12">
        <v>100</v>
      </c>
      <c r="V157" s="12">
        <v>0</v>
      </c>
      <c r="W157" s="12">
        <v>0</v>
      </c>
      <c r="X157" s="17">
        <f t="shared" si="63"/>
        <v>1000</v>
      </c>
      <c r="Y157" s="12"/>
      <c r="Z157" s="19"/>
      <c r="AA157" s="17">
        <f t="shared" si="64"/>
        <v>700</v>
      </c>
      <c r="AB157" s="20">
        <f>X157-AE157</f>
        <v>347</v>
      </c>
      <c r="AC157" s="20">
        <f t="shared" si="71"/>
        <v>1000</v>
      </c>
      <c r="AD157" s="20">
        <f t="shared" si="72"/>
        <v>0</v>
      </c>
      <c r="AE157" s="17">
        <f>VLOOKUP(B157,[2]Sheet1!$B$4:$J$188,9,0)</f>
        <v>653</v>
      </c>
      <c r="AF157" s="17">
        <v>700</v>
      </c>
      <c r="AG157" s="21" t="str">
        <f>VLOOKUP(B157,'[3]MASTER -COLOR CODE'!$B$6:$C$337,2,0)</f>
        <v>DHANIK LAL MAHARA</v>
      </c>
      <c r="AH157" s="21"/>
    </row>
    <row r="158" spans="1:34" s="22" customFormat="1" x14ac:dyDescent="0.25">
      <c r="A158" s="12">
        <v>157</v>
      </c>
      <c r="B158" s="13" t="s">
        <v>340</v>
      </c>
      <c r="C158" s="14" t="s">
        <v>341</v>
      </c>
      <c r="D158" s="15"/>
      <c r="E158" s="16"/>
      <c r="F158" s="17">
        <v>700</v>
      </c>
      <c r="G158" s="12">
        <v>31</v>
      </c>
      <c r="H158" s="12">
        <v>2</v>
      </c>
      <c r="I158" s="18">
        <f t="shared" si="59"/>
        <v>29</v>
      </c>
      <c r="J158" s="17">
        <f t="shared" si="60"/>
        <v>654.83870967741939</v>
      </c>
      <c r="K158" s="34"/>
      <c r="L158" s="17">
        <f t="shared" si="58"/>
        <v>0</v>
      </c>
      <c r="M158" s="12"/>
      <c r="N158" s="17">
        <f t="shared" si="67"/>
        <v>0</v>
      </c>
      <c r="O158" s="12"/>
      <c r="P158" s="17">
        <f t="shared" si="68"/>
        <v>0</v>
      </c>
      <c r="Q158" s="12">
        <f t="shared" si="55"/>
        <v>29</v>
      </c>
      <c r="R158" s="12">
        <v>200</v>
      </c>
      <c r="S158" s="17">
        <f t="shared" si="69"/>
        <v>187.09677419354838</v>
      </c>
      <c r="T158" s="1">
        <v>0</v>
      </c>
      <c r="U158" s="12">
        <v>0</v>
      </c>
      <c r="V158" s="12">
        <v>0</v>
      </c>
      <c r="W158" s="12">
        <v>0</v>
      </c>
      <c r="X158" s="17">
        <f t="shared" si="63"/>
        <v>841.9354838709678</v>
      </c>
      <c r="Y158" s="12"/>
      <c r="Z158" s="19"/>
      <c r="AA158" s="17">
        <f t="shared" si="64"/>
        <v>654.83870967741939</v>
      </c>
      <c r="AB158" s="20">
        <f t="shared" ref="AB158:AB165" si="73">X158-AA158</f>
        <v>187.09677419354841</v>
      </c>
      <c r="AC158" s="20">
        <f t="shared" si="71"/>
        <v>887.09677419354841</v>
      </c>
      <c r="AD158" s="20">
        <f t="shared" si="72"/>
        <v>-45.161290322580612</v>
      </c>
      <c r="AE158" s="17">
        <f>VLOOKUP(B158,[2]Sheet1!$B$4:$J$188,9,0)</f>
        <v>700</v>
      </c>
      <c r="AF158" s="20">
        <f t="shared" ref="AF158:AF165" si="74">X158-AE158</f>
        <v>141.9354838709678</v>
      </c>
      <c r="AG158" s="21" t="str">
        <f>VLOOKUP(B158,'[3]MASTER -COLOR CODE'!$B$6:$C$337,2,0)</f>
        <v xml:space="preserve">MUHAMMAD AHMAD </v>
      </c>
      <c r="AH158" s="21"/>
    </row>
    <row r="159" spans="1:34" s="22" customFormat="1" x14ac:dyDescent="0.25">
      <c r="A159" s="12">
        <v>158</v>
      </c>
      <c r="B159" s="13" t="s">
        <v>342</v>
      </c>
      <c r="C159" s="14" t="s">
        <v>343</v>
      </c>
      <c r="D159" s="15"/>
      <c r="E159" s="16"/>
      <c r="F159" s="17">
        <v>700</v>
      </c>
      <c r="G159" s="12">
        <v>31</v>
      </c>
      <c r="H159" s="12">
        <v>0</v>
      </c>
      <c r="I159" s="18">
        <f t="shared" si="59"/>
        <v>31</v>
      </c>
      <c r="J159" s="17">
        <f t="shared" si="60"/>
        <v>700</v>
      </c>
      <c r="K159" s="34"/>
      <c r="L159" s="17">
        <f t="shared" si="58"/>
        <v>0</v>
      </c>
      <c r="M159" s="12"/>
      <c r="N159" s="17">
        <f t="shared" si="67"/>
        <v>0</v>
      </c>
      <c r="O159" s="12"/>
      <c r="P159" s="17">
        <f t="shared" si="68"/>
        <v>0</v>
      </c>
      <c r="Q159" s="12">
        <v>7</v>
      </c>
      <c r="R159" s="12">
        <v>200</v>
      </c>
      <c r="S159" s="17">
        <f t="shared" si="69"/>
        <v>45.161290322580641</v>
      </c>
      <c r="T159" s="1">
        <v>0</v>
      </c>
      <c r="U159" s="12">
        <v>0</v>
      </c>
      <c r="V159" s="12">
        <v>0</v>
      </c>
      <c r="W159" s="12">
        <v>0</v>
      </c>
      <c r="X159" s="17">
        <f t="shared" si="63"/>
        <v>745.16129032258061</v>
      </c>
      <c r="Y159" s="12"/>
      <c r="Z159" s="12"/>
      <c r="AA159" s="17">
        <f t="shared" si="64"/>
        <v>700</v>
      </c>
      <c r="AB159" s="20">
        <f t="shared" si="73"/>
        <v>45.161290322580612</v>
      </c>
      <c r="AC159" s="20" t="e">
        <f t="shared" si="71"/>
        <v>#N/A</v>
      </c>
      <c r="AD159" s="20" t="e">
        <f t="shared" si="72"/>
        <v>#N/A</v>
      </c>
      <c r="AE159" s="17" t="e">
        <f>VLOOKUP(B159,[2]Sheet1!$B$4:$J$188,9,0)</f>
        <v>#N/A</v>
      </c>
      <c r="AF159" s="20" t="e">
        <f t="shared" si="74"/>
        <v>#N/A</v>
      </c>
      <c r="AG159" s="21" t="str">
        <f>VLOOKUP(B159,'[3]MASTER -COLOR CODE'!$B$6:$C$337,2,0)</f>
        <v>SAMI ULLAH</v>
      </c>
      <c r="AH159" s="21"/>
    </row>
    <row r="160" spans="1:34" s="22" customFormat="1" x14ac:dyDescent="0.25">
      <c r="A160" s="12">
        <v>159</v>
      </c>
      <c r="B160" s="13" t="s">
        <v>344</v>
      </c>
      <c r="C160" s="14" t="s">
        <v>345</v>
      </c>
      <c r="D160" s="15"/>
      <c r="E160" s="16"/>
      <c r="F160" s="17">
        <v>700</v>
      </c>
      <c r="G160" s="12">
        <v>31</v>
      </c>
      <c r="H160" s="12">
        <v>4</v>
      </c>
      <c r="I160" s="18">
        <f t="shared" si="59"/>
        <v>27</v>
      </c>
      <c r="J160" s="17">
        <f t="shared" si="60"/>
        <v>609.67741935483878</v>
      </c>
      <c r="K160" s="34"/>
      <c r="L160" s="17">
        <f t="shared" ref="L160:L195" si="75">F160/30/8*1.25*K160</f>
        <v>0</v>
      </c>
      <c r="M160" s="12"/>
      <c r="N160" s="17">
        <f t="shared" si="67"/>
        <v>0</v>
      </c>
      <c r="O160" s="12"/>
      <c r="P160" s="17">
        <f t="shared" si="68"/>
        <v>0</v>
      </c>
      <c r="Q160" s="12">
        <f t="shared" ref="Q160:Q175" si="76">I160</f>
        <v>27</v>
      </c>
      <c r="R160" s="12">
        <v>200</v>
      </c>
      <c r="S160" s="17">
        <f t="shared" si="69"/>
        <v>174.19354838709677</v>
      </c>
      <c r="T160" s="1">
        <v>0</v>
      </c>
      <c r="U160" s="12">
        <v>0</v>
      </c>
      <c r="V160" s="12">
        <v>0</v>
      </c>
      <c r="W160" s="12">
        <v>0</v>
      </c>
      <c r="X160" s="17">
        <f t="shared" si="63"/>
        <v>783.8709677419356</v>
      </c>
      <c r="Y160" s="12"/>
      <c r="Z160" s="12"/>
      <c r="AA160" s="17">
        <f t="shared" si="64"/>
        <v>609.67741935483878</v>
      </c>
      <c r="AB160" s="20">
        <f t="shared" si="73"/>
        <v>174.19354838709683</v>
      </c>
      <c r="AC160" s="20">
        <f t="shared" si="71"/>
        <v>827.19354838709683</v>
      </c>
      <c r="AD160" s="20">
        <f t="shared" si="72"/>
        <v>-43.322580645161224</v>
      </c>
      <c r="AE160" s="17">
        <f>VLOOKUP(B160,[2]Sheet1!$B$4:$J$188,9,0)</f>
        <v>653</v>
      </c>
      <c r="AF160" s="20">
        <f t="shared" si="74"/>
        <v>130.8709677419356</v>
      </c>
      <c r="AG160" s="21" t="str">
        <f>VLOOKUP(B160,'[3]MASTER -COLOR CODE'!$B$6:$C$337,2,0)</f>
        <v>SHERAZ KHAN</v>
      </c>
      <c r="AH160" s="21"/>
    </row>
    <row r="161" spans="1:34" s="22" customFormat="1" x14ac:dyDescent="0.25">
      <c r="A161" s="12">
        <v>160</v>
      </c>
      <c r="B161" s="13" t="s">
        <v>346</v>
      </c>
      <c r="C161" s="14" t="s">
        <v>347</v>
      </c>
      <c r="D161" s="15"/>
      <c r="E161" s="16"/>
      <c r="F161" s="17">
        <v>700</v>
      </c>
      <c r="G161" s="12">
        <v>31</v>
      </c>
      <c r="H161" s="12">
        <v>0</v>
      </c>
      <c r="I161" s="18">
        <f t="shared" si="59"/>
        <v>31</v>
      </c>
      <c r="J161" s="17">
        <f t="shared" si="60"/>
        <v>700</v>
      </c>
      <c r="K161" s="34"/>
      <c r="L161" s="17">
        <f t="shared" si="75"/>
        <v>0</v>
      </c>
      <c r="M161" s="12"/>
      <c r="N161" s="17">
        <f t="shared" si="67"/>
        <v>0</v>
      </c>
      <c r="O161" s="12"/>
      <c r="P161" s="17">
        <f t="shared" si="68"/>
        <v>0</v>
      </c>
      <c r="Q161" s="12">
        <f t="shared" si="76"/>
        <v>31</v>
      </c>
      <c r="R161" s="12">
        <v>200</v>
      </c>
      <c r="S161" s="17">
        <f t="shared" si="69"/>
        <v>200</v>
      </c>
      <c r="T161" s="1">
        <v>0</v>
      </c>
      <c r="U161" s="12">
        <v>0</v>
      </c>
      <c r="V161" s="12">
        <v>0</v>
      </c>
      <c r="W161" s="12">
        <v>0</v>
      </c>
      <c r="X161" s="17">
        <f t="shared" si="63"/>
        <v>900</v>
      </c>
      <c r="Y161" s="12"/>
      <c r="Z161" s="19"/>
      <c r="AA161" s="17">
        <f t="shared" si="64"/>
        <v>700</v>
      </c>
      <c r="AB161" s="20">
        <f t="shared" si="73"/>
        <v>200</v>
      </c>
      <c r="AC161" s="20">
        <f t="shared" si="71"/>
        <v>900</v>
      </c>
      <c r="AD161" s="20">
        <f t="shared" si="72"/>
        <v>0</v>
      </c>
      <c r="AE161" s="17">
        <f>VLOOKUP(B161,[2]Sheet1!$B$4:$J$188,9,0)</f>
        <v>700</v>
      </c>
      <c r="AF161" s="20">
        <f t="shared" si="74"/>
        <v>200</v>
      </c>
      <c r="AG161" s="21" t="str">
        <f>VLOOKUP(B161,'[3]MASTER -COLOR CODE'!$B$6:$C$337,2,0)</f>
        <v>MUHAMMAD RIZWAN</v>
      </c>
      <c r="AH161" s="21"/>
    </row>
    <row r="162" spans="1:34" s="22" customFormat="1" x14ac:dyDescent="0.25">
      <c r="A162" s="12">
        <v>161</v>
      </c>
      <c r="B162" s="13" t="s">
        <v>348</v>
      </c>
      <c r="C162" s="14" t="s">
        <v>349</v>
      </c>
      <c r="D162" s="15"/>
      <c r="E162" s="16"/>
      <c r="F162" s="17">
        <v>700</v>
      </c>
      <c r="G162" s="12">
        <v>31</v>
      </c>
      <c r="H162" s="12">
        <v>0</v>
      </c>
      <c r="I162" s="18">
        <f t="shared" ref="I162:I195" si="77">G162-H162</f>
        <v>31</v>
      </c>
      <c r="J162" s="17">
        <f t="shared" si="60"/>
        <v>700</v>
      </c>
      <c r="K162" s="34"/>
      <c r="L162" s="17">
        <f t="shared" si="75"/>
        <v>0</v>
      </c>
      <c r="M162" s="12"/>
      <c r="N162" s="17">
        <f t="shared" si="67"/>
        <v>0</v>
      </c>
      <c r="O162" s="12"/>
      <c r="P162" s="17">
        <f t="shared" si="68"/>
        <v>0</v>
      </c>
      <c r="Q162" s="12">
        <f t="shared" si="76"/>
        <v>31</v>
      </c>
      <c r="R162" s="12">
        <v>200</v>
      </c>
      <c r="S162" s="17">
        <f t="shared" si="69"/>
        <v>200</v>
      </c>
      <c r="T162" s="1">
        <v>0</v>
      </c>
      <c r="U162" s="12">
        <v>0</v>
      </c>
      <c r="V162" s="12">
        <v>0</v>
      </c>
      <c r="W162" s="12">
        <v>0</v>
      </c>
      <c r="X162" s="17">
        <f t="shared" ref="X162:X195" si="78">J162+L162+N162+P162+S162+T162+U162+V162-W162</f>
        <v>900</v>
      </c>
      <c r="Y162" s="12"/>
      <c r="Z162" s="19"/>
      <c r="AA162" s="17">
        <f t="shared" si="64"/>
        <v>700</v>
      </c>
      <c r="AB162" s="20">
        <f t="shared" si="73"/>
        <v>200</v>
      </c>
      <c r="AC162" s="20">
        <f t="shared" si="71"/>
        <v>900</v>
      </c>
      <c r="AD162" s="20">
        <f t="shared" si="72"/>
        <v>0</v>
      </c>
      <c r="AE162" s="17">
        <f>VLOOKUP(B162,[2]Sheet1!$B$4:$J$188,9,0)</f>
        <v>700</v>
      </c>
      <c r="AF162" s="20">
        <f t="shared" si="74"/>
        <v>200</v>
      </c>
      <c r="AG162" s="21" t="str">
        <f>VLOOKUP(B162,'[3]MASTER -COLOR CODE'!$B$6:$C$337,2,0)</f>
        <v>IMAD KHAN</v>
      </c>
      <c r="AH162" s="21"/>
    </row>
    <row r="163" spans="1:34" s="22" customFormat="1" x14ac:dyDescent="0.25">
      <c r="A163" s="12">
        <v>162</v>
      </c>
      <c r="B163" s="13" t="s">
        <v>350</v>
      </c>
      <c r="C163" s="14" t="s">
        <v>351</v>
      </c>
      <c r="D163" s="15"/>
      <c r="E163" s="16"/>
      <c r="F163" s="17">
        <v>700</v>
      </c>
      <c r="G163" s="12">
        <v>31</v>
      </c>
      <c r="H163" s="12">
        <v>2</v>
      </c>
      <c r="I163" s="18">
        <f t="shared" si="77"/>
        <v>29</v>
      </c>
      <c r="J163" s="17">
        <f t="shared" si="60"/>
        <v>654.83870967741939</v>
      </c>
      <c r="K163" s="34"/>
      <c r="L163" s="17">
        <f t="shared" si="75"/>
        <v>0</v>
      </c>
      <c r="M163" s="12"/>
      <c r="N163" s="17">
        <f t="shared" si="67"/>
        <v>0</v>
      </c>
      <c r="O163" s="12"/>
      <c r="P163" s="17">
        <f t="shared" si="68"/>
        <v>0</v>
      </c>
      <c r="Q163" s="12">
        <f t="shared" si="76"/>
        <v>29</v>
      </c>
      <c r="R163" s="12">
        <v>200</v>
      </c>
      <c r="S163" s="17">
        <f t="shared" si="69"/>
        <v>187.09677419354838</v>
      </c>
      <c r="T163" s="1">
        <v>0</v>
      </c>
      <c r="U163" s="12">
        <v>0</v>
      </c>
      <c r="V163" s="12">
        <v>0</v>
      </c>
      <c r="W163" s="12">
        <v>0</v>
      </c>
      <c r="X163" s="17">
        <f t="shared" si="78"/>
        <v>841.9354838709678</v>
      </c>
      <c r="Y163" s="12"/>
      <c r="Z163" s="19"/>
      <c r="AA163" s="17">
        <f t="shared" si="64"/>
        <v>654.83870967741939</v>
      </c>
      <c r="AB163" s="20">
        <f t="shared" si="73"/>
        <v>187.09677419354841</v>
      </c>
      <c r="AC163" s="20">
        <f t="shared" si="71"/>
        <v>887.09677419354841</v>
      </c>
      <c r="AD163" s="20">
        <f t="shared" si="72"/>
        <v>-45.161290322580612</v>
      </c>
      <c r="AE163" s="17">
        <f>VLOOKUP(B163,[2]Sheet1!$B$4:$J$188,9,0)</f>
        <v>700</v>
      </c>
      <c r="AF163" s="20">
        <f t="shared" si="74"/>
        <v>141.9354838709678</v>
      </c>
      <c r="AG163" s="21" t="str">
        <f>VLOOKUP(B163,'[3]MASTER -COLOR CODE'!$B$6:$C$337,2,0)</f>
        <v>MUNSIF KHAN</v>
      </c>
      <c r="AH163" s="21"/>
    </row>
    <row r="164" spans="1:34" s="22" customFormat="1" x14ac:dyDescent="0.25">
      <c r="A164" s="12">
        <v>163</v>
      </c>
      <c r="B164" s="13" t="s">
        <v>352</v>
      </c>
      <c r="C164" s="14" t="s">
        <v>353</v>
      </c>
      <c r="D164" s="15"/>
      <c r="E164" s="16">
        <v>700</v>
      </c>
      <c r="F164" s="17">
        <v>700</v>
      </c>
      <c r="G164" s="12">
        <v>31</v>
      </c>
      <c r="H164" s="12">
        <v>0</v>
      </c>
      <c r="I164" s="18">
        <f t="shared" si="77"/>
        <v>31</v>
      </c>
      <c r="J164" s="17">
        <f t="shared" si="60"/>
        <v>700</v>
      </c>
      <c r="K164" s="34"/>
      <c r="L164" s="17">
        <f t="shared" si="75"/>
        <v>0</v>
      </c>
      <c r="M164" s="12"/>
      <c r="N164" s="17">
        <f t="shared" si="67"/>
        <v>0</v>
      </c>
      <c r="O164" s="12"/>
      <c r="P164" s="17">
        <f t="shared" si="68"/>
        <v>0</v>
      </c>
      <c r="Q164" s="12">
        <f t="shared" si="76"/>
        <v>31</v>
      </c>
      <c r="R164" s="12">
        <v>200</v>
      </c>
      <c r="S164" s="17">
        <f t="shared" si="69"/>
        <v>200</v>
      </c>
      <c r="T164" s="12">
        <v>0</v>
      </c>
      <c r="U164" s="12">
        <v>100</v>
      </c>
      <c r="V164" s="12">
        <v>0</v>
      </c>
      <c r="W164" s="12">
        <v>0</v>
      </c>
      <c r="X164" s="17">
        <f t="shared" si="78"/>
        <v>1000</v>
      </c>
      <c r="Y164" s="12"/>
      <c r="Z164" s="19"/>
      <c r="AA164" s="17">
        <f t="shared" si="64"/>
        <v>700</v>
      </c>
      <c r="AB164" s="20">
        <f t="shared" si="73"/>
        <v>300</v>
      </c>
      <c r="AC164" s="20">
        <f t="shared" si="71"/>
        <v>1000</v>
      </c>
      <c r="AD164" s="20">
        <f t="shared" si="72"/>
        <v>0</v>
      </c>
      <c r="AE164" s="17">
        <f>VLOOKUP(B164,[2]Sheet1!$B$4:$J$188,9,0)</f>
        <v>700</v>
      </c>
      <c r="AF164" s="20">
        <f t="shared" si="74"/>
        <v>300</v>
      </c>
      <c r="AG164" s="21" t="str">
        <f>VLOOKUP(B164,'[3]MASTER -COLOR CODE'!$B$6:$C$337,2,0)</f>
        <v>JAKIR HUSAIN</v>
      </c>
      <c r="AH164" s="21"/>
    </row>
    <row r="165" spans="1:34" s="22" customFormat="1" x14ac:dyDescent="0.25">
      <c r="A165" s="12">
        <v>164</v>
      </c>
      <c r="B165" s="13" t="s">
        <v>354</v>
      </c>
      <c r="C165" s="14" t="s">
        <v>355</v>
      </c>
      <c r="D165" s="15"/>
      <c r="E165" s="16">
        <v>700</v>
      </c>
      <c r="F165" s="17">
        <v>700</v>
      </c>
      <c r="G165" s="12">
        <v>31</v>
      </c>
      <c r="H165" s="12">
        <v>0</v>
      </c>
      <c r="I165" s="18">
        <f t="shared" si="77"/>
        <v>31</v>
      </c>
      <c r="J165" s="17">
        <f t="shared" si="60"/>
        <v>700</v>
      </c>
      <c r="K165" s="34"/>
      <c r="L165" s="17">
        <f t="shared" si="75"/>
        <v>0</v>
      </c>
      <c r="M165" s="12"/>
      <c r="N165" s="17">
        <f t="shared" si="67"/>
        <v>0</v>
      </c>
      <c r="O165" s="12"/>
      <c r="P165" s="17">
        <f t="shared" si="68"/>
        <v>0</v>
      </c>
      <c r="Q165" s="12">
        <f t="shared" si="76"/>
        <v>31</v>
      </c>
      <c r="R165" s="12">
        <v>200</v>
      </c>
      <c r="S165" s="17">
        <f t="shared" si="69"/>
        <v>200</v>
      </c>
      <c r="T165" s="12">
        <v>0</v>
      </c>
      <c r="U165" s="12">
        <v>100</v>
      </c>
      <c r="V165" s="12">
        <v>0</v>
      </c>
      <c r="W165" s="12">
        <v>0</v>
      </c>
      <c r="X165" s="17">
        <f t="shared" si="78"/>
        <v>1000</v>
      </c>
      <c r="Y165" s="12"/>
      <c r="Z165" s="19"/>
      <c r="AA165" s="17">
        <f t="shared" si="64"/>
        <v>700</v>
      </c>
      <c r="AB165" s="20">
        <f t="shared" si="73"/>
        <v>300</v>
      </c>
      <c r="AC165" s="20">
        <f t="shared" si="71"/>
        <v>1000</v>
      </c>
      <c r="AD165" s="20">
        <f t="shared" si="72"/>
        <v>0</v>
      </c>
      <c r="AE165" s="17">
        <f>VLOOKUP(B165,[2]Sheet1!$B$4:$J$188,9,0)</f>
        <v>700</v>
      </c>
      <c r="AF165" s="20">
        <f t="shared" si="74"/>
        <v>300</v>
      </c>
      <c r="AG165" s="21" t="str">
        <f>VLOOKUP(B165,'[3]MASTER -COLOR CODE'!$B$6:$C$337,2,0)</f>
        <v>RAM KUMAR YADAV</v>
      </c>
      <c r="AH165" s="21"/>
    </row>
    <row r="166" spans="1:34" s="22" customFormat="1" x14ac:dyDescent="0.25">
      <c r="A166" s="12">
        <v>165</v>
      </c>
      <c r="B166" s="35" t="s">
        <v>356</v>
      </c>
      <c r="C166" s="14" t="s">
        <v>357</v>
      </c>
      <c r="D166" s="15"/>
      <c r="E166" s="16">
        <v>700</v>
      </c>
      <c r="F166" s="17">
        <v>700</v>
      </c>
      <c r="G166" s="12">
        <v>31</v>
      </c>
      <c r="H166" s="12">
        <v>0</v>
      </c>
      <c r="I166" s="18">
        <f t="shared" si="77"/>
        <v>31</v>
      </c>
      <c r="J166" s="17">
        <f t="shared" si="60"/>
        <v>700</v>
      </c>
      <c r="K166" s="34"/>
      <c r="L166" s="17">
        <f t="shared" si="75"/>
        <v>0</v>
      </c>
      <c r="M166" s="12"/>
      <c r="N166" s="17">
        <f t="shared" si="67"/>
        <v>0</v>
      </c>
      <c r="O166" s="12"/>
      <c r="P166" s="17">
        <f t="shared" si="68"/>
        <v>0</v>
      </c>
      <c r="Q166" s="12">
        <f t="shared" si="76"/>
        <v>31</v>
      </c>
      <c r="R166" s="12">
        <v>200</v>
      </c>
      <c r="S166" s="17">
        <f t="shared" si="69"/>
        <v>200</v>
      </c>
      <c r="T166" s="12">
        <v>0</v>
      </c>
      <c r="U166" s="12">
        <v>100</v>
      </c>
      <c r="V166" s="12">
        <v>0</v>
      </c>
      <c r="W166" s="12">
        <v>0</v>
      </c>
      <c r="X166" s="17">
        <f t="shared" si="78"/>
        <v>1000</v>
      </c>
      <c r="Y166" s="12"/>
      <c r="Z166" s="19"/>
      <c r="AA166" s="17">
        <f t="shared" si="64"/>
        <v>700</v>
      </c>
      <c r="AB166" s="20" t="e">
        <f>X166-AE166</f>
        <v>#N/A</v>
      </c>
      <c r="AC166" s="20" t="e">
        <f t="shared" si="71"/>
        <v>#N/A</v>
      </c>
      <c r="AD166" s="20" t="e">
        <f t="shared" si="72"/>
        <v>#N/A</v>
      </c>
      <c r="AE166" s="17" t="e">
        <f>VLOOKUP(B166,[2]Sheet1!$B$4:$J$188,9,0)</f>
        <v>#N/A</v>
      </c>
      <c r="AF166" s="17">
        <v>583</v>
      </c>
      <c r="AG166" s="21" t="str">
        <f>VLOOKUP(B166,'[3]MASTER -COLOR CODE'!$B$6:$C$337,2,0)</f>
        <v>SUNIL KUMAR</v>
      </c>
      <c r="AH166" s="21"/>
    </row>
    <row r="167" spans="1:34" s="22" customFormat="1" x14ac:dyDescent="0.25">
      <c r="A167" s="12">
        <v>166</v>
      </c>
      <c r="B167" s="13" t="s">
        <v>358</v>
      </c>
      <c r="C167" s="67" t="s">
        <v>359</v>
      </c>
      <c r="D167" s="15"/>
      <c r="E167" s="16">
        <v>900</v>
      </c>
      <c r="F167" s="17">
        <v>700</v>
      </c>
      <c r="G167" s="12">
        <v>31</v>
      </c>
      <c r="H167" s="12">
        <v>0</v>
      </c>
      <c r="I167" s="18">
        <f t="shared" si="77"/>
        <v>31</v>
      </c>
      <c r="J167" s="17">
        <f t="shared" si="60"/>
        <v>700</v>
      </c>
      <c r="K167" s="34"/>
      <c r="L167" s="17">
        <f t="shared" si="75"/>
        <v>0</v>
      </c>
      <c r="M167" s="12"/>
      <c r="N167" s="17">
        <f t="shared" si="67"/>
        <v>0</v>
      </c>
      <c r="O167" s="12"/>
      <c r="P167" s="17">
        <f t="shared" si="68"/>
        <v>0</v>
      </c>
      <c r="Q167" s="12">
        <f t="shared" si="76"/>
        <v>31</v>
      </c>
      <c r="R167" s="12">
        <v>200</v>
      </c>
      <c r="S167" s="17">
        <f t="shared" si="69"/>
        <v>200</v>
      </c>
      <c r="T167" s="12">
        <v>0</v>
      </c>
      <c r="U167" s="12">
        <v>100</v>
      </c>
      <c r="V167" s="12">
        <v>0</v>
      </c>
      <c r="W167" s="12">
        <v>0</v>
      </c>
      <c r="X167" s="17">
        <f t="shared" si="78"/>
        <v>1000</v>
      </c>
      <c r="Y167" s="12"/>
      <c r="Z167" s="19"/>
      <c r="AA167" s="17">
        <v>900</v>
      </c>
      <c r="AB167" s="20">
        <f t="shared" ref="AB167:AB186" si="79">X167-AA167</f>
        <v>100</v>
      </c>
      <c r="AC167" s="20">
        <f t="shared" si="71"/>
        <v>1000</v>
      </c>
      <c r="AD167" s="20">
        <f t="shared" si="72"/>
        <v>0</v>
      </c>
      <c r="AE167" s="17">
        <f>VLOOKUP(B167,[2]Sheet1!$B$4:$J$188,9,0)</f>
        <v>900</v>
      </c>
      <c r="AF167" s="20">
        <f t="shared" ref="AF167:AF186" si="80">X167-AE167</f>
        <v>100</v>
      </c>
      <c r="AG167" s="21" t="str">
        <f>VLOOKUP(B167,'[3]MASTER -COLOR CODE'!$B$6:$C$337,2,0)</f>
        <v>AAITIBIR SANBA</v>
      </c>
      <c r="AH167" s="21"/>
    </row>
    <row r="168" spans="1:34" s="22" customFormat="1" x14ac:dyDescent="0.25">
      <c r="A168" s="12">
        <v>167</v>
      </c>
      <c r="B168" s="13" t="s">
        <v>360</v>
      </c>
      <c r="C168" s="67" t="s">
        <v>361</v>
      </c>
      <c r="D168" s="15"/>
      <c r="E168" s="16">
        <v>900</v>
      </c>
      <c r="F168" s="17">
        <v>700</v>
      </c>
      <c r="G168" s="12">
        <v>31</v>
      </c>
      <c r="H168" s="12">
        <v>0</v>
      </c>
      <c r="I168" s="18">
        <f t="shared" si="77"/>
        <v>31</v>
      </c>
      <c r="J168" s="17">
        <f t="shared" si="60"/>
        <v>700</v>
      </c>
      <c r="K168" s="34"/>
      <c r="L168" s="17">
        <f t="shared" si="75"/>
        <v>0</v>
      </c>
      <c r="M168" s="12"/>
      <c r="N168" s="17">
        <f t="shared" si="67"/>
        <v>0</v>
      </c>
      <c r="O168" s="12"/>
      <c r="P168" s="17">
        <f t="shared" si="68"/>
        <v>0</v>
      </c>
      <c r="Q168" s="12">
        <f t="shared" si="76"/>
        <v>31</v>
      </c>
      <c r="R168" s="12">
        <v>200</v>
      </c>
      <c r="S168" s="17">
        <f t="shared" si="69"/>
        <v>200</v>
      </c>
      <c r="T168" s="12">
        <v>0</v>
      </c>
      <c r="U168" s="12">
        <v>100</v>
      </c>
      <c r="V168" s="12">
        <v>0</v>
      </c>
      <c r="W168" s="12">
        <v>0</v>
      </c>
      <c r="X168" s="17">
        <f t="shared" si="78"/>
        <v>1000</v>
      </c>
      <c r="Y168" s="12"/>
      <c r="Z168" s="19"/>
      <c r="AA168" s="17">
        <v>900</v>
      </c>
      <c r="AB168" s="20">
        <f t="shared" si="79"/>
        <v>100</v>
      </c>
      <c r="AC168" s="20">
        <f t="shared" si="71"/>
        <v>1000</v>
      </c>
      <c r="AD168" s="20">
        <f t="shared" si="72"/>
        <v>0</v>
      </c>
      <c r="AE168" s="17">
        <f>VLOOKUP(B168,[2]Sheet1!$B$4:$J$188,9,0)</f>
        <v>900</v>
      </c>
      <c r="AF168" s="20">
        <f t="shared" si="80"/>
        <v>100</v>
      </c>
      <c r="AG168" s="21" t="str">
        <f>VLOOKUP(B168,'[3]MASTER -COLOR CODE'!$B$6:$C$337,2,0)</f>
        <v>SANJAY MAHATO DHAGAD</v>
      </c>
      <c r="AH168" s="21"/>
    </row>
    <row r="169" spans="1:34" s="22" customFormat="1" x14ac:dyDescent="0.25">
      <c r="A169" s="12">
        <v>168</v>
      </c>
      <c r="B169" s="13" t="s">
        <v>362</v>
      </c>
      <c r="C169" s="67" t="s">
        <v>363</v>
      </c>
      <c r="D169" s="15"/>
      <c r="E169" s="16">
        <v>900</v>
      </c>
      <c r="F169" s="17">
        <v>700</v>
      </c>
      <c r="G169" s="12">
        <v>31</v>
      </c>
      <c r="H169" s="12">
        <v>0</v>
      </c>
      <c r="I169" s="18">
        <f t="shared" si="77"/>
        <v>31</v>
      </c>
      <c r="J169" s="17">
        <f t="shared" si="60"/>
        <v>700</v>
      </c>
      <c r="K169" s="34"/>
      <c r="L169" s="17">
        <f t="shared" si="75"/>
        <v>0</v>
      </c>
      <c r="M169" s="12"/>
      <c r="N169" s="17">
        <f t="shared" ref="N169:N195" si="81">F169/30/8*1.25*M169</f>
        <v>0</v>
      </c>
      <c r="O169" s="12"/>
      <c r="P169" s="17">
        <f t="shared" ref="P169:P186" si="82">F169/30/8*1.5*O169</f>
        <v>0</v>
      </c>
      <c r="Q169" s="12">
        <f t="shared" si="76"/>
        <v>31</v>
      </c>
      <c r="R169" s="12">
        <v>200</v>
      </c>
      <c r="S169" s="17">
        <f t="shared" ref="S169:S195" si="83">R169/G169*Q169</f>
        <v>200</v>
      </c>
      <c r="T169" s="12">
        <v>0</v>
      </c>
      <c r="U169" s="12">
        <v>100</v>
      </c>
      <c r="V169" s="12">
        <v>0</v>
      </c>
      <c r="W169" s="12">
        <v>0</v>
      </c>
      <c r="X169" s="17">
        <f t="shared" si="78"/>
        <v>1000</v>
      </c>
      <c r="Y169" s="12"/>
      <c r="Z169" s="19"/>
      <c r="AA169" s="17">
        <v>900</v>
      </c>
      <c r="AB169" s="20">
        <f t="shared" si="79"/>
        <v>100</v>
      </c>
      <c r="AC169" s="20">
        <f t="shared" ref="AC169:AC186" si="84">AE169+AB169</f>
        <v>970</v>
      </c>
      <c r="AD169" s="20">
        <f t="shared" ref="AD169:AD186" si="85">X169-AC169</f>
        <v>30</v>
      </c>
      <c r="AE169" s="17">
        <f>VLOOKUP(B169,[2]Sheet1!$B$4:$J$188,9,0)</f>
        <v>870</v>
      </c>
      <c r="AF169" s="20">
        <f t="shared" si="80"/>
        <v>130</v>
      </c>
      <c r="AG169" s="21" t="str">
        <f>VLOOKUP(B169,'[3]MASTER -COLOR CODE'!$B$6:$C$337,2,0)</f>
        <v>NAR BAHADUR LIMBU</v>
      </c>
      <c r="AH169" s="21"/>
    </row>
    <row r="170" spans="1:34" s="22" customFormat="1" x14ac:dyDescent="0.25">
      <c r="A170" s="12">
        <v>169</v>
      </c>
      <c r="B170" s="13" t="s">
        <v>364</v>
      </c>
      <c r="C170" s="67" t="s">
        <v>365</v>
      </c>
      <c r="D170" s="15"/>
      <c r="E170" s="16">
        <v>900</v>
      </c>
      <c r="F170" s="17">
        <v>700</v>
      </c>
      <c r="G170" s="12">
        <v>31</v>
      </c>
      <c r="H170" s="12">
        <v>0</v>
      </c>
      <c r="I170" s="18">
        <f t="shared" si="77"/>
        <v>31</v>
      </c>
      <c r="J170" s="17">
        <f t="shared" si="60"/>
        <v>700</v>
      </c>
      <c r="K170" s="34"/>
      <c r="L170" s="17">
        <f t="shared" si="75"/>
        <v>0</v>
      </c>
      <c r="M170" s="12"/>
      <c r="N170" s="17">
        <f t="shared" si="81"/>
        <v>0</v>
      </c>
      <c r="O170" s="12"/>
      <c r="P170" s="17">
        <f t="shared" si="82"/>
        <v>0</v>
      </c>
      <c r="Q170" s="12">
        <f t="shared" si="76"/>
        <v>31</v>
      </c>
      <c r="R170" s="12">
        <v>200</v>
      </c>
      <c r="S170" s="17">
        <f t="shared" si="83"/>
        <v>200</v>
      </c>
      <c r="T170" s="12">
        <v>0</v>
      </c>
      <c r="U170" s="12">
        <v>100</v>
      </c>
      <c r="V170" s="12">
        <v>0</v>
      </c>
      <c r="W170" s="12">
        <v>0</v>
      </c>
      <c r="X170" s="17">
        <f t="shared" si="78"/>
        <v>1000</v>
      </c>
      <c r="Y170" s="12"/>
      <c r="Z170" s="19"/>
      <c r="AA170" s="17">
        <v>900</v>
      </c>
      <c r="AB170" s="20">
        <f t="shared" si="79"/>
        <v>100</v>
      </c>
      <c r="AC170" s="20">
        <f t="shared" si="84"/>
        <v>1000</v>
      </c>
      <c r="AD170" s="20">
        <f t="shared" si="85"/>
        <v>0</v>
      </c>
      <c r="AE170" s="17">
        <f>VLOOKUP(B170,[2]Sheet1!$B$4:$J$188,9,0)</f>
        <v>900</v>
      </c>
      <c r="AF170" s="20">
        <f t="shared" si="80"/>
        <v>100</v>
      </c>
      <c r="AG170" s="21" t="str">
        <f>VLOOKUP(B170,'[3]MASTER -COLOR CODE'!$B$6:$C$337,2,0)</f>
        <v>AMRIT RAI BIMALA RAI</v>
      </c>
      <c r="AH170" s="21"/>
    </row>
    <row r="171" spans="1:34" s="22" customFormat="1" x14ac:dyDescent="0.25">
      <c r="A171" s="12">
        <v>170</v>
      </c>
      <c r="B171" s="13" t="s">
        <v>366</v>
      </c>
      <c r="C171" s="67" t="s">
        <v>367</v>
      </c>
      <c r="D171" s="15"/>
      <c r="E171" s="16">
        <v>900</v>
      </c>
      <c r="F171" s="17">
        <v>700</v>
      </c>
      <c r="G171" s="12">
        <v>31</v>
      </c>
      <c r="H171" s="12">
        <v>0</v>
      </c>
      <c r="I171" s="18">
        <f t="shared" si="77"/>
        <v>31</v>
      </c>
      <c r="J171" s="17">
        <f t="shared" si="60"/>
        <v>700</v>
      </c>
      <c r="K171" s="34"/>
      <c r="L171" s="17">
        <f t="shared" si="75"/>
        <v>0</v>
      </c>
      <c r="M171" s="12"/>
      <c r="N171" s="17">
        <f t="shared" si="81"/>
        <v>0</v>
      </c>
      <c r="O171" s="12"/>
      <c r="P171" s="17">
        <f t="shared" si="82"/>
        <v>0</v>
      </c>
      <c r="Q171" s="12">
        <f t="shared" si="76"/>
        <v>31</v>
      </c>
      <c r="R171" s="12">
        <v>200</v>
      </c>
      <c r="S171" s="17">
        <f t="shared" si="83"/>
        <v>200</v>
      </c>
      <c r="T171" s="12">
        <v>0</v>
      </c>
      <c r="U171" s="12">
        <v>100</v>
      </c>
      <c r="V171" s="12">
        <v>0</v>
      </c>
      <c r="W171" s="12">
        <v>0</v>
      </c>
      <c r="X171" s="17">
        <f t="shared" si="78"/>
        <v>1000</v>
      </c>
      <c r="Y171" s="12"/>
      <c r="Z171" s="19"/>
      <c r="AA171" s="17">
        <v>900</v>
      </c>
      <c r="AB171" s="20">
        <f t="shared" si="79"/>
        <v>100</v>
      </c>
      <c r="AC171" s="20">
        <f t="shared" si="84"/>
        <v>1000</v>
      </c>
      <c r="AD171" s="20">
        <f t="shared" si="85"/>
        <v>0</v>
      </c>
      <c r="AE171" s="17">
        <f>VLOOKUP(B171,[2]Sheet1!$B$4:$J$188,9,0)</f>
        <v>900</v>
      </c>
      <c r="AF171" s="20">
        <f t="shared" si="80"/>
        <v>100</v>
      </c>
      <c r="AG171" s="21" t="str">
        <f>VLOOKUP(B171,'[3]MASTER -COLOR CODE'!$B$6:$C$337,2,0)</f>
        <v>DIPENDRA SIWA DARJI</v>
      </c>
      <c r="AH171" s="21"/>
    </row>
    <row r="172" spans="1:34" s="22" customFormat="1" x14ac:dyDescent="0.25">
      <c r="A172" s="12">
        <v>171</v>
      </c>
      <c r="B172" s="13" t="s">
        <v>368</v>
      </c>
      <c r="C172" s="67" t="s">
        <v>369</v>
      </c>
      <c r="D172" s="15"/>
      <c r="E172" s="16">
        <v>900</v>
      </c>
      <c r="F172" s="17">
        <v>700</v>
      </c>
      <c r="G172" s="12">
        <v>31</v>
      </c>
      <c r="H172" s="12">
        <v>0</v>
      </c>
      <c r="I172" s="18">
        <f t="shared" si="77"/>
        <v>31</v>
      </c>
      <c r="J172" s="17">
        <f t="shared" si="60"/>
        <v>700</v>
      </c>
      <c r="K172" s="34"/>
      <c r="L172" s="17">
        <f t="shared" si="75"/>
        <v>0</v>
      </c>
      <c r="M172" s="12"/>
      <c r="N172" s="17">
        <f t="shared" si="81"/>
        <v>0</v>
      </c>
      <c r="O172" s="12"/>
      <c r="P172" s="17">
        <f t="shared" si="82"/>
        <v>0</v>
      </c>
      <c r="Q172" s="12">
        <f t="shared" si="76"/>
        <v>31</v>
      </c>
      <c r="R172" s="12">
        <v>200</v>
      </c>
      <c r="S172" s="17">
        <f t="shared" si="83"/>
        <v>200</v>
      </c>
      <c r="T172" s="12">
        <v>0</v>
      </c>
      <c r="U172" s="12">
        <v>100</v>
      </c>
      <c r="V172" s="12">
        <v>0</v>
      </c>
      <c r="W172" s="12">
        <v>0</v>
      </c>
      <c r="X172" s="17">
        <f t="shared" si="78"/>
        <v>1000</v>
      </c>
      <c r="Y172" s="12"/>
      <c r="Z172" s="19"/>
      <c r="AA172" s="17">
        <v>900</v>
      </c>
      <c r="AB172" s="20">
        <f t="shared" si="79"/>
        <v>100</v>
      </c>
      <c r="AC172" s="20">
        <f t="shared" si="84"/>
        <v>1000</v>
      </c>
      <c r="AD172" s="20">
        <f t="shared" si="85"/>
        <v>0</v>
      </c>
      <c r="AE172" s="17">
        <f>VLOOKUP(B172,[2]Sheet1!$B$4:$J$188,9,0)</f>
        <v>900</v>
      </c>
      <c r="AF172" s="20">
        <f t="shared" si="80"/>
        <v>100</v>
      </c>
      <c r="AG172" s="21" t="str">
        <f>VLOOKUP(B172,'[3]MASTER -COLOR CODE'!$B$6:$C$337,2,0)</f>
        <v xml:space="preserve">KUISANG SHERPA PEMBA </v>
      </c>
      <c r="AH172" s="21"/>
    </row>
    <row r="173" spans="1:34" s="22" customFormat="1" x14ac:dyDescent="0.25">
      <c r="A173" s="12">
        <v>172</v>
      </c>
      <c r="B173" s="13" t="s">
        <v>370</v>
      </c>
      <c r="C173" s="67" t="s">
        <v>371</v>
      </c>
      <c r="D173" s="15"/>
      <c r="E173" s="16">
        <v>900</v>
      </c>
      <c r="F173" s="17">
        <v>700</v>
      </c>
      <c r="G173" s="12">
        <v>31</v>
      </c>
      <c r="H173" s="12">
        <v>0</v>
      </c>
      <c r="I173" s="18">
        <f t="shared" si="77"/>
        <v>31</v>
      </c>
      <c r="J173" s="17">
        <f t="shared" si="60"/>
        <v>700</v>
      </c>
      <c r="K173" s="34"/>
      <c r="L173" s="17">
        <f t="shared" si="75"/>
        <v>0</v>
      </c>
      <c r="M173" s="12"/>
      <c r="N173" s="17">
        <f t="shared" si="81"/>
        <v>0</v>
      </c>
      <c r="O173" s="12"/>
      <c r="P173" s="17">
        <f t="shared" si="82"/>
        <v>0</v>
      </c>
      <c r="Q173" s="12">
        <f t="shared" si="76"/>
        <v>31</v>
      </c>
      <c r="R173" s="12">
        <v>200</v>
      </c>
      <c r="S173" s="17">
        <f t="shared" si="83"/>
        <v>200</v>
      </c>
      <c r="T173" s="12">
        <v>0</v>
      </c>
      <c r="U173" s="12">
        <v>100</v>
      </c>
      <c r="V173" s="12">
        <v>0</v>
      </c>
      <c r="W173" s="12">
        <v>0</v>
      </c>
      <c r="X173" s="17">
        <f t="shared" si="78"/>
        <v>1000</v>
      </c>
      <c r="Y173" s="12"/>
      <c r="Z173" s="19"/>
      <c r="AA173" s="17">
        <v>900</v>
      </c>
      <c r="AB173" s="20">
        <f t="shared" si="79"/>
        <v>100</v>
      </c>
      <c r="AC173" s="20">
        <f t="shared" si="84"/>
        <v>1000</v>
      </c>
      <c r="AD173" s="20">
        <f t="shared" si="85"/>
        <v>0</v>
      </c>
      <c r="AE173" s="17">
        <f>VLOOKUP(B173,[2]Sheet1!$B$4:$J$188,9,0)</f>
        <v>900</v>
      </c>
      <c r="AF173" s="20">
        <f t="shared" si="80"/>
        <v>100</v>
      </c>
      <c r="AG173" s="21" t="str">
        <f>VLOOKUP(B173,'[3]MASTER -COLOR CODE'!$B$6:$C$337,2,0)</f>
        <v>BIPAT PASMAN JOGI PASMAN</v>
      </c>
      <c r="AH173" s="21"/>
    </row>
    <row r="174" spans="1:34" s="22" customFormat="1" x14ac:dyDescent="0.25">
      <c r="A174" s="12">
        <v>173</v>
      </c>
      <c r="B174" s="13" t="s">
        <v>372</v>
      </c>
      <c r="C174" s="67" t="s">
        <v>373</v>
      </c>
      <c r="D174" s="15"/>
      <c r="E174" s="16">
        <v>900</v>
      </c>
      <c r="F174" s="17">
        <v>700</v>
      </c>
      <c r="G174" s="12">
        <v>31</v>
      </c>
      <c r="H174" s="12">
        <v>4</v>
      </c>
      <c r="I174" s="18">
        <f t="shared" si="77"/>
        <v>27</v>
      </c>
      <c r="J174" s="17">
        <f t="shared" si="60"/>
        <v>609.67741935483878</v>
      </c>
      <c r="K174" s="34"/>
      <c r="L174" s="17">
        <f t="shared" si="75"/>
        <v>0</v>
      </c>
      <c r="M174" s="12"/>
      <c r="N174" s="17">
        <f t="shared" si="81"/>
        <v>0</v>
      </c>
      <c r="O174" s="12"/>
      <c r="P174" s="17">
        <f t="shared" si="82"/>
        <v>0</v>
      </c>
      <c r="Q174" s="12">
        <f t="shared" si="76"/>
        <v>27</v>
      </c>
      <c r="R174" s="12">
        <v>200</v>
      </c>
      <c r="S174" s="17">
        <f t="shared" si="83"/>
        <v>174.19354838709677</v>
      </c>
      <c r="T174" s="12">
        <v>0</v>
      </c>
      <c r="U174" s="12">
        <v>100</v>
      </c>
      <c r="V174" s="12">
        <v>0</v>
      </c>
      <c r="W174" s="12">
        <v>0</v>
      </c>
      <c r="X174" s="17">
        <f t="shared" si="78"/>
        <v>883.8709677419356</v>
      </c>
      <c r="Y174" s="12"/>
      <c r="Z174" s="19"/>
      <c r="AA174" s="17">
        <f t="shared" si="64"/>
        <v>609.67741935483878</v>
      </c>
      <c r="AB174" s="20">
        <f t="shared" si="79"/>
        <v>274.19354838709683</v>
      </c>
      <c r="AC174" s="20">
        <f t="shared" si="84"/>
        <v>1144.1935483870968</v>
      </c>
      <c r="AD174" s="20">
        <f t="shared" si="85"/>
        <v>-260.32258064516122</v>
      </c>
      <c r="AE174" s="17">
        <f>VLOOKUP(B174,[2]Sheet1!$B$4:$J$188,9,0)</f>
        <v>870</v>
      </c>
      <c r="AF174" s="20">
        <f t="shared" si="80"/>
        <v>13.870967741935601</v>
      </c>
      <c r="AG174" s="21" t="str">
        <f>VLOOKUP(B174,'[3]MASTER -COLOR CODE'!$B$6:$C$337,2,0)</f>
        <v>MAHINDRA YADAV</v>
      </c>
      <c r="AH174" s="21"/>
    </row>
    <row r="175" spans="1:34" s="22" customFormat="1" x14ac:dyDescent="0.25">
      <c r="A175" s="12">
        <v>174</v>
      </c>
      <c r="B175" s="13" t="s">
        <v>374</v>
      </c>
      <c r="C175" s="67" t="s">
        <v>375</v>
      </c>
      <c r="D175" s="15"/>
      <c r="E175" s="16">
        <v>900</v>
      </c>
      <c r="F175" s="17">
        <v>700</v>
      </c>
      <c r="G175" s="12">
        <v>31</v>
      </c>
      <c r="H175" s="12">
        <v>1</v>
      </c>
      <c r="I175" s="18">
        <f t="shared" si="77"/>
        <v>30</v>
      </c>
      <c r="J175" s="17">
        <f t="shared" si="60"/>
        <v>677.41935483870975</v>
      </c>
      <c r="K175" s="34"/>
      <c r="L175" s="17">
        <f t="shared" si="75"/>
        <v>0</v>
      </c>
      <c r="M175" s="12"/>
      <c r="N175" s="17">
        <f t="shared" si="81"/>
        <v>0</v>
      </c>
      <c r="O175" s="12"/>
      <c r="P175" s="17">
        <f t="shared" si="82"/>
        <v>0</v>
      </c>
      <c r="Q175" s="12">
        <f t="shared" si="76"/>
        <v>30</v>
      </c>
      <c r="R175" s="12">
        <v>200</v>
      </c>
      <c r="S175" s="17">
        <f t="shared" si="83"/>
        <v>193.54838709677418</v>
      </c>
      <c r="T175" s="12">
        <v>0</v>
      </c>
      <c r="U175" s="12">
        <v>100</v>
      </c>
      <c r="V175" s="12">
        <v>0</v>
      </c>
      <c r="W175" s="12">
        <v>0</v>
      </c>
      <c r="X175" s="17">
        <f t="shared" si="78"/>
        <v>970.9677419354839</v>
      </c>
      <c r="Y175" s="12"/>
      <c r="Z175" s="19"/>
      <c r="AA175" s="17">
        <f t="shared" si="64"/>
        <v>677.41935483870975</v>
      </c>
      <c r="AB175" s="20">
        <f t="shared" si="79"/>
        <v>293.54838709677415</v>
      </c>
      <c r="AC175" s="20">
        <f t="shared" si="84"/>
        <v>1193.5483870967741</v>
      </c>
      <c r="AD175" s="20">
        <f t="shared" si="85"/>
        <v>-222.58064516129025</v>
      </c>
      <c r="AE175" s="17">
        <f>VLOOKUP(B175,[2]Sheet1!$B$4:$J$188,9,0)</f>
        <v>900</v>
      </c>
      <c r="AF175" s="20">
        <f t="shared" si="80"/>
        <v>70.9677419354839</v>
      </c>
      <c r="AG175" s="21" t="str">
        <f>VLOOKUP(B175,'[3]MASTER -COLOR CODE'!$B$6:$C$337,2,0)</f>
        <v>RAJU SUNAR</v>
      </c>
      <c r="AH175" s="21"/>
    </row>
    <row r="176" spans="1:34" s="22" customFormat="1" x14ac:dyDescent="0.25">
      <c r="A176" s="12">
        <v>175</v>
      </c>
      <c r="B176" s="13" t="s">
        <v>376</v>
      </c>
      <c r="C176" s="67" t="s">
        <v>377</v>
      </c>
      <c r="D176" s="15"/>
      <c r="E176" s="16">
        <v>900</v>
      </c>
      <c r="F176" s="17">
        <v>700</v>
      </c>
      <c r="G176" s="12">
        <v>31</v>
      </c>
      <c r="H176" s="12">
        <v>0</v>
      </c>
      <c r="I176" s="18">
        <f t="shared" si="77"/>
        <v>31</v>
      </c>
      <c r="J176" s="17">
        <f t="shared" si="60"/>
        <v>700</v>
      </c>
      <c r="K176" s="34"/>
      <c r="L176" s="17">
        <f t="shared" si="75"/>
        <v>0</v>
      </c>
      <c r="M176" s="12"/>
      <c r="N176" s="17">
        <f t="shared" si="81"/>
        <v>0</v>
      </c>
      <c r="O176" s="12"/>
      <c r="P176" s="17">
        <f t="shared" si="82"/>
        <v>0</v>
      </c>
      <c r="Q176" s="12">
        <v>7</v>
      </c>
      <c r="R176" s="12">
        <v>200</v>
      </c>
      <c r="S176" s="17">
        <f t="shared" si="83"/>
        <v>45.161290322580641</v>
      </c>
      <c r="T176" s="12">
        <v>0</v>
      </c>
      <c r="U176" s="12">
        <v>100</v>
      </c>
      <c r="V176" s="12">
        <v>0</v>
      </c>
      <c r="W176" s="12">
        <v>0</v>
      </c>
      <c r="X176" s="17">
        <f t="shared" si="78"/>
        <v>845.16129032258061</v>
      </c>
      <c r="Y176" s="12"/>
      <c r="Z176" s="19"/>
      <c r="AA176" s="17">
        <f t="shared" si="64"/>
        <v>700</v>
      </c>
      <c r="AB176" s="20">
        <f t="shared" si="79"/>
        <v>145.16129032258061</v>
      </c>
      <c r="AC176" s="20">
        <f t="shared" si="84"/>
        <v>965.16129032258061</v>
      </c>
      <c r="AD176" s="20">
        <f t="shared" si="85"/>
        <v>-120</v>
      </c>
      <c r="AE176" s="17">
        <f>VLOOKUP(B176,[2]Sheet1!$B$4:$J$188,9,0)</f>
        <v>820</v>
      </c>
      <c r="AF176" s="20">
        <f t="shared" si="80"/>
        <v>25.161290322580612</v>
      </c>
      <c r="AG176" s="21" t="str">
        <f>VLOOKUP(B176,'[3]MASTER -COLOR CODE'!$B$6:$C$337,2,0)</f>
        <v>SAMBHU CHAMAR</v>
      </c>
      <c r="AH176" s="21"/>
    </row>
    <row r="177" spans="1:34" s="22" customFormat="1" x14ac:dyDescent="0.25">
      <c r="A177" s="12">
        <v>176</v>
      </c>
      <c r="B177" s="13" t="s">
        <v>378</v>
      </c>
      <c r="C177" s="67" t="s">
        <v>379</v>
      </c>
      <c r="D177" s="15"/>
      <c r="E177" s="16">
        <v>900</v>
      </c>
      <c r="F177" s="17">
        <v>700</v>
      </c>
      <c r="G177" s="12">
        <v>31</v>
      </c>
      <c r="H177" s="12">
        <v>8</v>
      </c>
      <c r="I177" s="18">
        <f t="shared" si="77"/>
        <v>23</v>
      </c>
      <c r="J177" s="17">
        <f t="shared" si="60"/>
        <v>519.35483870967744</v>
      </c>
      <c r="K177" s="34"/>
      <c r="L177" s="17">
        <f t="shared" si="75"/>
        <v>0</v>
      </c>
      <c r="M177" s="12"/>
      <c r="N177" s="17">
        <f t="shared" si="81"/>
        <v>0</v>
      </c>
      <c r="O177" s="12"/>
      <c r="P177" s="17">
        <f t="shared" si="82"/>
        <v>0</v>
      </c>
      <c r="Q177" s="12">
        <v>7</v>
      </c>
      <c r="R177" s="12">
        <v>200</v>
      </c>
      <c r="S177" s="17">
        <f t="shared" si="83"/>
        <v>45.161290322580641</v>
      </c>
      <c r="T177" s="12">
        <v>0</v>
      </c>
      <c r="U177" s="12">
        <v>0</v>
      </c>
      <c r="V177" s="12">
        <v>0</v>
      </c>
      <c r="W177" s="12">
        <v>0</v>
      </c>
      <c r="X177" s="17">
        <f t="shared" si="78"/>
        <v>564.51612903225805</v>
      </c>
      <c r="Y177" s="12"/>
      <c r="Z177" s="19"/>
      <c r="AA177" s="17">
        <f t="shared" si="64"/>
        <v>519.35483870967744</v>
      </c>
      <c r="AB177" s="20">
        <f t="shared" si="79"/>
        <v>45.161290322580612</v>
      </c>
      <c r="AC177" s="20">
        <f t="shared" si="84"/>
        <v>765.16129032258061</v>
      </c>
      <c r="AD177" s="20">
        <f t="shared" si="85"/>
        <v>-200.64516129032256</v>
      </c>
      <c r="AE177" s="17">
        <f>VLOOKUP(B177,[2]Sheet1!$B$4:$J$188,9,0)</f>
        <v>720</v>
      </c>
      <c r="AF177" s="20">
        <f t="shared" si="80"/>
        <v>-155.48387096774195</v>
      </c>
      <c r="AG177" s="21" t="str">
        <f>VLOOKUP(B177,'[3]MASTER -COLOR CODE'!$B$6:$C$337,2,0)</f>
        <v>KALURAM SADA BHUTI MUSHAR</v>
      </c>
      <c r="AH177" s="21"/>
    </row>
    <row r="178" spans="1:34" s="22" customFormat="1" x14ac:dyDescent="0.25">
      <c r="A178" s="12">
        <v>177</v>
      </c>
      <c r="B178" s="13" t="s">
        <v>380</v>
      </c>
      <c r="C178" s="67" t="s">
        <v>381</v>
      </c>
      <c r="D178" s="15"/>
      <c r="E178" s="16">
        <v>900</v>
      </c>
      <c r="F178" s="17">
        <v>700</v>
      </c>
      <c r="G178" s="12">
        <v>31</v>
      </c>
      <c r="H178" s="12">
        <v>0</v>
      </c>
      <c r="I178" s="18">
        <f t="shared" si="77"/>
        <v>31</v>
      </c>
      <c r="J178" s="17">
        <f t="shared" si="60"/>
        <v>700</v>
      </c>
      <c r="K178" s="34"/>
      <c r="L178" s="17">
        <f t="shared" si="75"/>
        <v>0</v>
      </c>
      <c r="M178" s="12"/>
      <c r="N178" s="17">
        <f t="shared" si="81"/>
        <v>0</v>
      </c>
      <c r="O178" s="12"/>
      <c r="P178" s="17">
        <f t="shared" si="82"/>
        <v>0</v>
      </c>
      <c r="Q178" s="12">
        <v>7</v>
      </c>
      <c r="R178" s="12">
        <v>200</v>
      </c>
      <c r="S178" s="17">
        <f t="shared" si="83"/>
        <v>45.161290322580641</v>
      </c>
      <c r="T178" s="12">
        <v>0</v>
      </c>
      <c r="U178" s="12">
        <v>0</v>
      </c>
      <c r="V178" s="12">
        <v>0</v>
      </c>
      <c r="W178" s="12">
        <v>0</v>
      </c>
      <c r="X178" s="17">
        <f t="shared" si="78"/>
        <v>745.16129032258061</v>
      </c>
      <c r="Y178" s="12"/>
      <c r="Z178" s="19"/>
      <c r="AA178" s="17">
        <f t="shared" si="64"/>
        <v>700</v>
      </c>
      <c r="AB178" s="20">
        <f t="shared" si="79"/>
        <v>45.161290322580612</v>
      </c>
      <c r="AC178" s="20">
        <f t="shared" si="84"/>
        <v>765.16129032258061</v>
      </c>
      <c r="AD178" s="20">
        <f t="shared" si="85"/>
        <v>-20</v>
      </c>
      <c r="AE178" s="17">
        <f>VLOOKUP(B178,[2]Sheet1!$B$4:$J$188,9,0)</f>
        <v>720</v>
      </c>
      <c r="AF178" s="20">
        <f t="shared" si="80"/>
        <v>25.161290322580612</v>
      </c>
      <c r="AG178" s="21" t="str">
        <f>VLOOKUP(B178,'[3]MASTER -COLOR CODE'!$B$6:$C$337,2,0)</f>
        <v>GANGA RAM DAS</v>
      </c>
      <c r="AH178" s="21"/>
    </row>
    <row r="179" spans="1:34" s="22" customFormat="1" x14ac:dyDescent="0.25">
      <c r="A179" s="12">
        <v>178</v>
      </c>
      <c r="B179" s="13" t="s">
        <v>382</v>
      </c>
      <c r="C179" s="67" t="s">
        <v>383</v>
      </c>
      <c r="D179" s="15"/>
      <c r="E179" s="16">
        <v>900</v>
      </c>
      <c r="F179" s="17">
        <v>700</v>
      </c>
      <c r="G179" s="12">
        <v>31</v>
      </c>
      <c r="H179" s="12">
        <v>0</v>
      </c>
      <c r="I179" s="18">
        <v>31</v>
      </c>
      <c r="J179" s="17">
        <f t="shared" si="60"/>
        <v>700</v>
      </c>
      <c r="K179" s="34"/>
      <c r="L179" s="17">
        <f t="shared" si="75"/>
        <v>0</v>
      </c>
      <c r="M179" s="12"/>
      <c r="N179" s="17">
        <f t="shared" si="81"/>
        <v>0</v>
      </c>
      <c r="O179" s="12"/>
      <c r="P179" s="17">
        <f t="shared" si="82"/>
        <v>0</v>
      </c>
      <c r="Q179" s="12">
        <f t="shared" ref="Q179:Q195" si="86">I179</f>
        <v>31</v>
      </c>
      <c r="R179" s="12">
        <v>200</v>
      </c>
      <c r="S179" s="17">
        <f t="shared" si="83"/>
        <v>200</v>
      </c>
      <c r="T179" s="12">
        <v>0</v>
      </c>
      <c r="U179" s="12">
        <v>0</v>
      </c>
      <c r="V179" s="12">
        <v>0</v>
      </c>
      <c r="W179" s="12">
        <v>0</v>
      </c>
      <c r="X179" s="17">
        <f t="shared" si="78"/>
        <v>900</v>
      </c>
      <c r="Y179" s="12"/>
      <c r="Z179" s="19"/>
      <c r="AA179" s="17">
        <f t="shared" si="64"/>
        <v>700</v>
      </c>
      <c r="AB179" s="20">
        <f t="shared" si="79"/>
        <v>200</v>
      </c>
      <c r="AC179" s="20">
        <f t="shared" si="84"/>
        <v>1100</v>
      </c>
      <c r="AD179" s="20">
        <f t="shared" si="85"/>
        <v>-200</v>
      </c>
      <c r="AE179" s="17">
        <f>VLOOKUP(B179,[2]Sheet1!$B$4:$J$188,9,0)</f>
        <v>900</v>
      </c>
      <c r="AF179" s="20">
        <f t="shared" si="80"/>
        <v>0</v>
      </c>
      <c r="AG179" s="21" t="str">
        <f>VLOOKUP(B179,'[3]MASTER -COLOR CODE'!$B$6:$C$337,2,0)</f>
        <v>LAXHMESHVAR KHATWE DEV</v>
      </c>
      <c r="AH179" s="21"/>
    </row>
    <row r="180" spans="1:34" s="22" customFormat="1" x14ac:dyDescent="0.25">
      <c r="A180" s="12">
        <v>179</v>
      </c>
      <c r="B180" s="13" t="s">
        <v>384</v>
      </c>
      <c r="C180" s="67" t="s">
        <v>385</v>
      </c>
      <c r="D180" s="15"/>
      <c r="E180" s="16">
        <v>900</v>
      </c>
      <c r="F180" s="17">
        <v>700</v>
      </c>
      <c r="G180" s="12">
        <v>31</v>
      </c>
      <c r="H180" s="12">
        <v>0</v>
      </c>
      <c r="I180" s="18">
        <f t="shared" si="77"/>
        <v>31</v>
      </c>
      <c r="J180" s="17">
        <f t="shared" si="60"/>
        <v>700</v>
      </c>
      <c r="K180" s="34"/>
      <c r="L180" s="17">
        <f t="shared" si="75"/>
        <v>0</v>
      </c>
      <c r="M180" s="12"/>
      <c r="N180" s="17">
        <f t="shared" si="81"/>
        <v>0</v>
      </c>
      <c r="O180" s="12"/>
      <c r="P180" s="17">
        <f t="shared" si="82"/>
        <v>0</v>
      </c>
      <c r="Q180" s="12">
        <f t="shared" si="86"/>
        <v>31</v>
      </c>
      <c r="R180" s="12">
        <v>200</v>
      </c>
      <c r="S180" s="17">
        <f t="shared" si="83"/>
        <v>200</v>
      </c>
      <c r="T180" s="12">
        <v>0</v>
      </c>
      <c r="U180" s="12">
        <v>0</v>
      </c>
      <c r="V180" s="12">
        <v>0</v>
      </c>
      <c r="W180" s="12">
        <v>0</v>
      </c>
      <c r="X180" s="17">
        <f t="shared" si="78"/>
        <v>900</v>
      </c>
      <c r="Y180" s="12"/>
      <c r="Z180" s="19"/>
      <c r="AA180" s="17">
        <f t="shared" si="64"/>
        <v>700</v>
      </c>
      <c r="AB180" s="20">
        <f t="shared" si="79"/>
        <v>200</v>
      </c>
      <c r="AC180" s="20">
        <f t="shared" si="84"/>
        <v>1100</v>
      </c>
      <c r="AD180" s="20">
        <f t="shared" si="85"/>
        <v>-200</v>
      </c>
      <c r="AE180" s="17">
        <f>VLOOKUP(B180,[2]Sheet1!$B$4:$J$188,9,0)</f>
        <v>900</v>
      </c>
      <c r="AF180" s="20">
        <f t="shared" si="80"/>
        <v>0</v>
      </c>
      <c r="AG180" s="21" t="str">
        <f>VLOOKUP(B180,'[3]MASTER -COLOR CODE'!$B$6:$C$337,2,0)</f>
        <v>BHUPNARAYAN SAH KANU ANUP</v>
      </c>
      <c r="AH180" s="21"/>
    </row>
    <row r="181" spans="1:34" s="22" customFormat="1" x14ac:dyDescent="0.25">
      <c r="A181" s="12">
        <v>180</v>
      </c>
      <c r="B181" s="13" t="s">
        <v>386</v>
      </c>
      <c r="C181" s="67" t="s">
        <v>387</v>
      </c>
      <c r="D181" s="15"/>
      <c r="E181" s="16">
        <v>900</v>
      </c>
      <c r="F181" s="17">
        <v>700</v>
      </c>
      <c r="G181" s="12">
        <v>31</v>
      </c>
      <c r="H181" s="12">
        <v>0</v>
      </c>
      <c r="I181" s="18">
        <f t="shared" si="77"/>
        <v>31</v>
      </c>
      <c r="J181" s="17">
        <f t="shared" si="60"/>
        <v>700</v>
      </c>
      <c r="K181" s="34"/>
      <c r="L181" s="17">
        <f t="shared" si="75"/>
        <v>0</v>
      </c>
      <c r="M181" s="12"/>
      <c r="N181" s="17">
        <f t="shared" si="81"/>
        <v>0</v>
      </c>
      <c r="O181" s="12"/>
      <c r="P181" s="17">
        <f t="shared" si="82"/>
        <v>0</v>
      </c>
      <c r="Q181" s="12">
        <f t="shared" si="86"/>
        <v>31</v>
      </c>
      <c r="R181" s="12">
        <v>200</v>
      </c>
      <c r="S181" s="17">
        <f t="shared" si="83"/>
        <v>200</v>
      </c>
      <c r="T181" s="12">
        <v>0</v>
      </c>
      <c r="U181" s="12">
        <v>0</v>
      </c>
      <c r="V181" s="12">
        <v>0</v>
      </c>
      <c r="W181" s="12">
        <v>0</v>
      </c>
      <c r="X181" s="17">
        <f t="shared" si="78"/>
        <v>900</v>
      </c>
      <c r="Y181" s="12"/>
      <c r="Z181" s="19"/>
      <c r="AA181" s="17">
        <f t="shared" si="64"/>
        <v>700</v>
      </c>
      <c r="AB181" s="20">
        <f t="shared" si="79"/>
        <v>200</v>
      </c>
      <c r="AC181" s="20">
        <f t="shared" si="84"/>
        <v>1100</v>
      </c>
      <c r="AD181" s="20">
        <f t="shared" si="85"/>
        <v>-200</v>
      </c>
      <c r="AE181" s="17">
        <f>VLOOKUP(B181,[2]Sheet1!$B$4:$J$188,9,0)</f>
        <v>900</v>
      </c>
      <c r="AF181" s="20">
        <f t="shared" si="80"/>
        <v>0</v>
      </c>
      <c r="AG181" s="21" t="str">
        <f>VLOOKUP(B181,'[3]MASTER -COLOR CODE'!$B$6:$C$337,2,0)</f>
        <v xml:space="preserve">SONELAL MUKHIYA BIN NIRAMLA DEVI </v>
      </c>
      <c r="AH181" s="21"/>
    </row>
    <row r="182" spans="1:34" s="22" customFormat="1" x14ac:dyDescent="0.25">
      <c r="A182" s="12">
        <v>181</v>
      </c>
      <c r="B182" s="13" t="s">
        <v>388</v>
      </c>
      <c r="C182" s="67" t="s">
        <v>389</v>
      </c>
      <c r="D182" s="15"/>
      <c r="E182" s="16">
        <v>900</v>
      </c>
      <c r="F182" s="17">
        <v>700</v>
      </c>
      <c r="G182" s="12">
        <v>31</v>
      </c>
      <c r="H182" s="12">
        <v>0</v>
      </c>
      <c r="I182" s="18">
        <f t="shared" si="77"/>
        <v>31</v>
      </c>
      <c r="J182" s="17">
        <f t="shared" si="60"/>
        <v>700</v>
      </c>
      <c r="K182" s="34"/>
      <c r="L182" s="17">
        <f t="shared" si="75"/>
        <v>0</v>
      </c>
      <c r="M182" s="12"/>
      <c r="N182" s="17">
        <f t="shared" si="81"/>
        <v>0</v>
      </c>
      <c r="O182" s="12"/>
      <c r="P182" s="17">
        <f t="shared" si="82"/>
        <v>0</v>
      </c>
      <c r="Q182" s="12">
        <f t="shared" si="86"/>
        <v>31</v>
      </c>
      <c r="R182" s="12">
        <v>200</v>
      </c>
      <c r="S182" s="17">
        <f t="shared" si="83"/>
        <v>200</v>
      </c>
      <c r="T182" s="12">
        <v>0</v>
      </c>
      <c r="U182" s="12">
        <v>0</v>
      </c>
      <c r="V182" s="12">
        <v>0</v>
      </c>
      <c r="W182" s="12">
        <v>0</v>
      </c>
      <c r="X182" s="17">
        <f t="shared" si="78"/>
        <v>900</v>
      </c>
      <c r="Y182" s="12"/>
      <c r="Z182" s="19"/>
      <c r="AA182" s="17">
        <f t="shared" si="64"/>
        <v>700</v>
      </c>
      <c r="AB182" s="20">
        <f t="shared" si="79"/>
        <v>200</v>
      </c>
      <c r="AC182" s="20">
        <f t="shared" si="84"/>
        <v>1100</v>
      </c>
      <c r="AD182" s="20">
        <f t="shared" si="85"/>
        <v>-200</v>
      </c>
      <c r="AE182" s="17">
        <f>VLOOKUP(B182,[2]Sheet1!$B$4:$J$188,9,0)</f>
        <v>900</v>
      </c>
      <c r="AF182" s="20">
        <f t="shared" si="80"/>
        <v>0</v>
      </c>
      <c r="AG182" s="21" t="str">
        <f>VLOOKUP(B182,'[3]MASTER -COLOR CODE'!$B$6:$C$337,2,0)</f>
        <v>BISHAL OLI PADAM BAHADUR</v>
      </c>
      <c r="AH182" s="21"/>
    </row>
    <row r="183" spans="1:34" s="22" customFormat="1" x14ac:dyDescent="0.25">
      <c r="A183" s="12">
        <v>182</v>
      </c>
      <c r="B183" s="13" t="s">
        <v>390</v>
      </c>
      <c r="C183" s="67" t="s">
        <v>391</v>
      </c>
      <c r="D183" s="15"/>
      <c r="E183" s="16">
        <v>900</v>
      </c>
      <c r="F183" s="17">
        <v>700</v>
      </c>
      <c r="G183" s="12">
        <v>31</v>
      </c>
      <c r="H183" s="12">
        <v>1</v>
      </c>
      <c r="I183" s="18">
        <f t="shared" si="77"/>
        <v>30</v>
      </c>
      <c r="J183" s="17">
        <f t="shared" si="60"/>
        <v>677.41935483870975</v>
      </c>
      <c r="K183" s="34"/>
      <c r="L183" s="17">
        <f t="shared" si="75"/>
        <v>0</v>
      </c>
      <c r="M183" s="12"/>
      <c r="N183" s="17">
        <f t="shared" si="81"/>
        <v>0</v>
      </c>
      <c r="O183" s="12"/>
      <c r="P183" s="17">
        <f t="shared" si="82"/>
        <v>0</v>
      </c>
      <c r="Q183" s="12">
        <f t="shared" si="86"/>
        <v>30</v>
      </c>
      <c r="R183" s="12">
        <v>200</v>
      </c>
      <c r="S183" s="17">
        <f t="shared" si="83"/>
        <v>193.54838709677418</v>
      </c>
      <c r="T183" s="12">
        <v>0</v>
      </c>
      <c r="U183" s="12">
        <v>0</v>
      </c>
      <c r="V183" s="12">
        <v>0</v>
      </c>
      <c r="W183" s="12">
        <v>0</v>
      </c>
      <c r="X183" s="17">
        <f t="shared" si="78"/>
        <v>870.9677419354839</v>
      </c>
      <c r="Y183" s="12"/>
      <c r="Z183" s="19"/>
      <c r="AA183" s="17">
        <f t="shared" si="64"/>
        <v>677.41935483870975</v>
      </c>
      <c r="AB183" s="20">
        <f t="shared" si="79"/>
        <v>193.54838709677415</v>
      </c>
      <c r="AC183" s="20">
        <f t="shared" si="84"/>
        <v>1093.5483870967741</v>
      </c>
      <c r="AD183" s="20">
        <f t="shared" si="85"/>
        <v>-222.58064516129025</v>
      </c>
      <c r="AE183" s="17">
        <f>VLOOKUP(B183,[2]Sheet1!$B$4:$J$188,9,0)</f>
        <v>900</v>
      </c>
      <c r="AF183" s="20">
        <f t="shared" si="80"/>
        <v>-29.0322580645161</v>
      </c>
      <c r="AG183" s="21" t="str">
        <f>VLOOKUP(B183,'[3]MASTER -COLOR CODE'!$B$6:$C$337,2,0)</f>
        <v>DIPENDRA YADAV RAJENDRA YADAV</v>
      </c>
      <c r="AH183" s="21"/>
    </row>
    <row r="184" spans="1:34" s="22" customFormat="1" x14ac:dyDescent="0.25">
      <c r="A184" s="12">
        <v>183</v>
      </c>
      <c r="B184" s="13" t="s">
        <v>392</v>
      </c>
      <c r="C184" s="67" t="s">
        <v>393</v>
      </c>
      <c r="D184" s="15"/>
      <c r="E184" s="16">
        <v>900</v>
      </c>
      <c r="F184" s="17">
        <v>700</v>
      </c>
      <c r="G184" s="12">
        <v>31</v>
      </c>
      <c r="H184" s="12">
        <v>3</v>
      </c>
      <c r="I184" s="18">
        <f t="shared" si="77"/>
        <v>28</v>
      </c>
      <c r="J184" s="17">
        <f t="shared" si="60"/>
        <v>632.25806451612902</v>
      </c>
      <c r="K184" s="34"/>
      <c r="L184" s="17">
        <f t="shared" si="75"/>
        <v>0</v>
      </c>
      <c r="M184" s="12"/>
      <c r="N184" s="17">
        <f t="shared" si="81"/>
        <v>0</v>
      </c>
      <c r="O184" s="12"/>
      <c r="P184" s="17">
        <f t="shared" si="82"/>
        <v>0</v>
      </c>
      <c r="Q184" s="12">
        <f t="shared" si="86"/>
        <v>28</v>
      </c>
      <c r="R184" s="12">
        <v>200</v>
      </c>
      <c r="S184" s="17">
        <f t="shared" si="83"/>
        <v>180.64516129032256</v>
      </c>
      <c r="T184" s="12">
        <v>0</v>
      </c>
      <c r="U184" s="12">
        <v>0</v>
      </c>
      <c r="V184" s="12">
        <v>0</v>
      </c>
      <c r="W184" s="12">
        <v>0</v>
      </c>
      <c r="X184" s="17">
        <f t="shared" si="78"/>
        <v>812.90322580645159</v>
      </c>
      <c r="Y184" s="12"/>
      <c r="Z184" s="19"/>
      <c r="AA184" s="17">
        <f t="shared" si="64"/>
        <v>632.25806451612902</v>
      </c>
      <c r="AB184" s="20">
        <f t="shared" si="79"/>
        <v>180.64516129032256</v>
      </c>
      <c r="AC184" s="20">
        <f t="shared" si="84"/>
        <v>1050.6451612903224</v>
      </c>
      <c r="AD184" s="20">
        <f t="shared" si="85"/>
        <v>-237.74193548387086</v>
      </c>
      <c r="AE184" s="17">
        <f>VLOOKUP(B184,[2]Sheet1!$B$4:$J$188,9,0)</f>
        <v>870</v>
      </c>
      <c r="AF184" s="20">
        <f t="shared" si="80"/>
        <v>-57.096774193548413</v>
      </c>
      <c r="AG184" s="21" t="str">
        <f>VLOOKUP(B184,'[3]MASTER -COLOR CODE'!$B$6:$C$337,2,0)</f>
        <v>GOVINDA PRASAD BASNET</v>
      </c>
      <c r="AH184" s="21"/>
    </row>
    <row r="185" spans="1:34" s="22" customFormat="1" x14ac:dyDescent="0.25">
      <c r="A185" s="12">
        <v>184</v>
      </c>
      <c r="B185" s="13" t="s">
        <v>394</v>
      </c>
      <c r="C185" s="67" t="s">
        <v>395</v>
      </c>
      <c r="D185" s="15"/>
      <c r="E185" s="16">
        <v>900</v>
      </c>
      <c r="F185" s="17">
        <v>700</v>
      </c>
      <c r="G185" s="12">
        <v>31</v>
      </c>
      <c r="H185" s="12">
        <v>0</v>
      </c>
      <c r="I185" s="18">
        <f t="shared" si="77"/>
        <v>31</v>
      </c>
      <c r="J185" s="17">
        <f t="shared" si="60"/>
        <v>700</v>
      </c>
      <c r="K185" s="34"/>
      <c r="L185" s="17">
        <f t="shared" si="75"/>
        <v>0</v>
      </c>
      <c r="M185" s="12"/>
      <c r="N185" s="17">
        <f t="shared" si="81"/>
        <v>0</v>
      </c>
      <c r="O185" s="12"/>
      <c r="P185" s="17">
        <f t="shared" si="82"/>
        <v>0</v>
      </c>
      <c r="Q185" s="12">
        <f t="shared" si="86"/>
        <v>31</v>
      </c>
      <c r="R185" s="12">
        <v>200</v>
      </c>
      <c r="S185" s="17">
        <f t="shared" si="83"/>
        <v>200</v>
      </c>
      <c r="T185" s="12">
        <v>0</v>
      </c>
      <c r="U185" s="12">
        <v>0</v>
      </c>
      <c r="V185" s="12">
        <v>0</v>
      </c>
      <c r="W185" s="12">
        <v>0</v>
      </c>
      <c r="X185" s="17">
        <f t="shared" si="78"/>
        <v>900</v>
      </c>
      <c r="Y185" s="12"/>
      <c r="Z185" s="19"/>
      <c r="AA185" s="17">
        <f t="shared" si="64"/>
        <v>700</v>
      </c>
      <c r="AB185" s="20">
        <f t="shared" si="79"/>
        <v>200</v>
      </c>
      <c r="AC185" s="20">
        <f t="shared" si="84"/>
        <v>1100</v>
      </c>
      <c r="AD185" s="20">
        <f t="shared" si="85"/>
        <v>-200</v>
      </c>
      <c r="AE185" s="17">
        <f>VLOOKUP(B185,[2]Sheet1!$B$4:$J$188,9,0)</f>
        <v>900</v>
      </c>
      <c r="AF185" s="20">
        <f t="shared" si="80"/>
        <v>0</v>
      </c>
      <c r="AG185" s="21" t="str">
        <f>VLOOKUP(B185,'[3]MASTER -COLOR CODE'!$B$6:$C$337,2,0)</f>
        <v>RAJIB KUMAR DAS JAMAHIR DAS</v>
      </c>
      <c r="AH185" s="21"/>
    </row>
    <row r="186" spans="1:34" s="22" customFormat="1" x14ac:dyDescent="0.25">
      <c r="A186" s="12">
        <v>185</v>
      </c>
      <c r="B186" s="13" t="s">
        <v>396</v>
      </c>
      <c r="C186" s="67" t="s">
        <v>397</v>
      </c>
      <c r="D186" s="15"/>
      <c r="E186" s="16">
        <v>900</v>
      </c>
      <c r="F186" s="17">
        <v>700</v>
      </c>
      <c r="G186" s="12">
        <v>31</v>
      </c>
      <c r="H186" s="12">
        <v>0</v>
      </c>
      <c r="I186" s="18">
        <f t="shared" si="77"/>
        <v>31</v>
      </c>
      <c r="J186" s="17">
        <f t="shared" si="60"/>
        <v>700</v>
      </c>
      <c r="K186" s="34"/>
      <c r="L186" s="17">
        <f t="shared" si="75"/>
        <v>0</v>
      </c>
      <c r="M186" s="12"/>
      <c r="N186" s="17">
        <f t="shared" si="81"/>
        <v>0</v>
      </c>
      <c r="O186" s="12"/>
      <c r="P186" s="17">
        <f t="shared" si="82"/>
        <v>0</v>
      </c>
      <c r="Q186" s="12">
        <f t="shared" si="86"/>
        <v>31</v>
      </c>
      <c r="R186" s="12">
        <v>200</v>
      </c>
      <c r="S186" s="17">
        <f t="shared" si="83"/>
        <v>200</v>
      </c>
      <c r="T186" s="12">
        <v>0</v>
      </c>
      <c r="U186" s="12">
        <v>0</v>
      </c>
      <c r="V186" s="12">
        <v>0</v>
      </c>
      <c r="W186" s="12">
        <v>0</v>
      </c>
      <c r="X186" s="17">
        <f t="shared" si="78"/>
        <v>900</v>
      </c>
      <c r="Y186" s="12"/>
      <c r="Z186" s="19"/>
      <c r="AA186" s="17">
        <f t="shared" si="64"/>
        <v>700</v>
      </c>
      <c r="AB186" s="20">
        <f t="shared" si="79"/>
        <v>200</v>
      </c>
      <c r="AC186" s="20">
        <f t="shared" si="84"/>
        <v>1100</v>
      </c>
      <c r="AD186" s="20">
        <f t="shared" si="85"/>
        <v>-200</v>
      </c>
      <c r="AE186" s="17">
        <f>VLOOKUP(B186,[2]Sheet1!$B$4:$J$188,9,0)</f>
        <v>900</v>
      </c>
      <c r="AF186" s="20">
        <f t="shared" si="80"/>
        <v>0</v>
      </c>
      <c r="AG186" s="21" t="str">
        <f>VLOOKUP(B186,'[3]MASTER -COLOR CODE'!$B$6:$C$337,2,0)</f>
        <v xml:space="preserve">RAM BAHADUR RAUT DUKHIYA </v>
      </c>
      <c r="AH186" s="21"/>
    </row>
    <row r="187" spans="1:34" s="22" customFormat="1" x14ac:dyDescent="0.25">
      <c r="A187" s="19">
        <v>186</v>
      </c>
      <c r="B187" s="35" t="s">
        <v>398</v>
      </c>
      <c r="C187" s="36" t="s">
        <v>399</v>
      </c>
      <c r="D187" s="15"/>
      <c r="E187" s="16"/>
      <c r="F187" s="17">
        <v>800</v>
      </c>
      <c r="G187" s="12">
        <v>31</v>
      </c>
      <c r="H187" s="12">
        <v>13</v>
      </c>
      <c r="I187" s="18">
        <f t="shared" si="77"/>
        <v>18</v>
      </c>
      <c r="J187" s="17">
        <f t="shared" si="60"/>
        <v>464.51612903225805</v>
      </c>
      <c r="K187" s="12"/>
      <c r="L187" s="17">
        <f t="shared" si="75"/>
        <v>0</v>
      </c>
      <c r="M187" s="12"/>
      <c r="N187" s="17">
        <f t="shared" si="81"/>
        <v>0</v>
      </c>
      <c r="O187" s="12"/>
      <c r="P187" s="17"/>
      <c r="Q187" s="12">
        <f t="shared" si="86"/>
        <v>18</v>
      </c>
      <c r="R187" s="12">
        <v>200</v>
      </c>
      <c r="S187" s="17">
        <f t="shared" si="83"/>
        <v>116.12903225806451</v>
      </c>
      <c r="T187" s="12">
        <v>0</v>
      </c>
      <c r="U187" s="12">
        <v>0</v>
      </c>
      <c r="V187" s="12">
        <v>0</v>
      </c>
      <c r="W187" s="12">
        <v>0</v>
      </c>
      <c r="X187" s="17">
        <f t="shared" si="78"/>
        <v>580.64516129032256</v>
      </c>
      <c r="Y187" s="12"/>
      <c r="Z187" s="12"/>
      <c r="AA187" s="17">
        <f t="shared" si="64"/>
        <v>464.51612903225805</v>
      </c>
      <c r="AB187" s="20"/>
      <c r="AC187" s="20"/>
      <c r="AD187" s="20"/>
      <c r="AE187" s="28"/>
      <c r="AF187" s="20"/>
    </row>
    <row r="188" spans="1:34" ht="21" x14ac:dyDescent="0.35">
      <c r="A188" s="19">
        <v>187</v>
      </c>
      <c r="B188" s="35">
        <v>845</v>
      </c>
      <c r="C188" s="36" t="s">
        <v>400</v>
      </c>
      <c r="D188" s="46"/>
      <c r="E188" s="47"/>
      <c r="F188" s="17">
        <v>900</v>
      </c>
      <c r="G188" s="12">
        <v>31</v>
      </c>
      <c r="H188" s="12">
        <v>0</v>
      </c>
      <c r="I188" s="18">
        <f t="shared" si="77"/>
        <v>31</v>
      </c>
      <c r="J188" s="17">
        <f t="shared" si="60"/>
        <v>900</v>
      </c>
      <c r="K188" s="12"/>
      <c r="L188" s="17">
        <f t="shared" si="75"/>
        <v>0</v>
      </c>
      <c r="M188" s="47"/>
      <c r="N188" s="17">
        <f t="shared" si="81"/>
        <v>0</v>
      </c>
      <c r="O188" s="47"/>
      <c r="P188" s="47"/>
      <c r="Q188" s="12">
        <f t="shared" si="86"/>
        <v>31</v>
      </c>
      <c r="R188" s="12">
        <v>200</v>
      </c>
      <c r="S188" s="17">
        <f t="shared" si="83"/>
        <v>200</v>
      </c>
      <c r="T188" s="12">
        <v>0</v>
      </c>
      <c r="U188" s="12">
        <v>0</v>
      </c>
      <c r="V188" s="12">
        <v>0</v>
      </c>
      <c r="W188" s="12">
        <v>0</v>
      </c>
      <c r="X188" s="17">
        <f t="shared" si="78"/>
        <v>1100</v>
      </c>
      <c r="Y188" s="48"/>
      <c r="Z188" s="48"/>
      <c r="AA188" s="17">
        <f t="shared" si="64"/>
        <v>900</v>
      </c>
      <c r="AB188" s="2" t="e">
        <f t="shared" ref="AB188:AE188" si="87">SUM(AB2:AB187)</f>
        <v>#N/A</v>
      </c>
      <c r="AC188" s="2" t="e">
        <f t="shared" si="87"/>
        <v>#N/A</v>
      </c>
      <c r="AD188" s="2" t="e">
        <f t="shared" si="87"/>
        <v>#N/A</v>
      </c>
      <c r="AE188" s="2" t="e">
        <f t="shared" si="87"/>
        <v>#N/A</v>
      </c>
      <c r="AF188" s="31" t="e">
        <f>SUM(AF2:AF186)</f>
        <v>#N/A</v>
      </c>
    </row>
    <row r="189" spans="1:34" x14ac:dyDescent="0.25">
      <c r="A189" s="19">
        <v>188</v>
      </c>
      <c r="B189" s="35">
        <v>484</v>
      </c>
      <c r="C189" s="36" t="s">
        <v>401</v>
      </c>
      <c r="D189" s="46"/>
      <c r="E189" s="47"/>
      <c r="F189" s="17">
        <v>800</v>
      </c>
      <c r="G189" s="12">
        <v>31</v>
      </c>
      <c r="H189" s="12">
        <v>9</v>
      </c>
      <c r="I189" s="18">
        <f t="shared" si="77"/>
        <v>22</v>
      </c>
      <c r="J189" s="17">
        <f t="shared" si="60"/>
        <v>567.74193548387098</v>
      </c>
      <c r="K189" s="12"/>
      <c r="L189" s="17">
        <f t="shared" si="75"/>
        <v>0</v>
      </c>
      <c r="M189" s="47"/>
      <c r="N189" s="17">
        <f t="shared" si="81"/>
        <v>0</v>
      </c>
      <c r="O189" s="47"/>
      <c r="P189" s="47"/>
      <c r="Q189" s="12">
        <f t="shared" si="86"/>
        <v>22</v>
      </c>
      <c r="R189" s="12">
        <v>200</v>
      </c>
      <c r="S189" s="17">
        <f t="shared" si="83"/>
        <v>141.93548387096774</v>
      </c>
      <c r="T189" s="12">
        <v>0</v>
      </c>
      <c r="U189" s="12">
        <v>0</v>
      </c>
      <c r="V189" s="12">
        <v>0</v>
      </c>
      <c r="W189" s="12">
        <v>0</v>
      </c>
      <c r="X189" s="17">
        <f t="shared" si="78"/>
        <v>709.67741935483878</v>
      </c>
      <c r="Y189" s="47"/>
      <c r="Z189" s="47"/>
      <c r="AA189" s="17">
        <f t="shared" si="64"/>
        <v>567.74193548387098</v>
      </c>
      <c r="AB189" s="49"/>
      <c r="AC189" s="47"/>
      <c r="AD189" s="47"/>
      <c r="AE189" s="50"/>
      <c r="AF189" s="51"/>
    </row>
    <row r="190" spans="1:34" x14ac:dyDescent="0.25">
      <c r="A190" s="19">
        <v>189</v>
      </c>
      <c r="B190" s="37">
        <v>985</v>
      </c>
      <c r="C190" s="38" t="s">
        <v>402</v>
      </c>
      <c r="D190" s="46"/>
      <c r="E190" s="47"/>
      <c r="F190" s="17">
        <v>700</v>
      </c>
      <c r="G190" s="12">
        <v>31</v>
      </c>
      <c r="H190" s="12">
        <v>28</v>
      </c>
      <c r="I190" s="18">
        <f t="shared" si="77"/>
        <v>3</v>
      </c>
      <c r="J190" s="17">
        <f t="shared" si="60"/>
        <v>67.741935483870975</v>
      </c>
      <c r="K190" s="47"/>
      <c r="L190" s="17">
        <f t="shared" si="75"/>
        <v>0</v>
      </c>
      <c r="M190" s="47"/>
      <c r="N190" s="17">
        <f t="shared" si="81"/>
        <v>0</v>
      </c>
      <c r="O190" s="47"/>
      <c r="P190" s="47"/>
      <c r="Q190" s="12">
        <f t="shared" si="86"/>
        <v>3</v>
      </c>
      <c r="R190" s="12">
        <v>200</v>
      </c>
      <c r="S190" s="17">
        <f t="shared" si="83"/>
        <v>19.354838709677416</v>
      </c>
      <c r="T190" s="12">
        <v>0</v>
      </c>
      <c r="U190" s="12">
        <v>0</v>
      </c>
      <c r="V190" s="12">
        <v>0</v>
      </c>
      <c r="W190" s="12">
        <v>0</v>
      </c>
      <c r="X190" s="17">
        <f t="shared" si="78"/>
        <v>87.096774193548384</v>
      </c>
      <c r="Y190" s="47"/>
      <c r="Z190" s="49"/>
      <c r="AA190" s="17">
        <f t="shared" si="64"/>
        <v>67.741935483870975</v>
      </c>
      <c r="AB190" s="47"/>
      <c r="AC190" s="47"/>
      <c r="AD190" s="47"/>
      <c r="AE190" s="50"/>
      <c r="AF190" s="51"/>
    </row>
    <row r="191" spans="1:34" ht="21" x14ac:dyDescent="0.35">
      <c r="A191" s="19">
        <v>190</v>
      </c>
      <c r="B191" s="39" t="s">
        <v>403</v>
      </c>
      <c r="C191" s="40" t="s">
        <v>404</v>
      </c>
      <c r="D191" s="46"/>
      <c r="E191" s="47"/>
      <c r="F191" s="17">
        <v>700</v>
      </c>
      <c r="G191" s="12">
        <v>31</v>
      </c>
      <c r="H191" s="12">
        <v>18</v>
      </c>
      <c r="I191" s="18">
        <f t="shared" si="77"/>
        <v>13</v>
      </c>
      <c r="J191" s="17">
        <f t="shared" si="60"/>
        <v>293.54838709677421</v>
      </c>
      <c r="K191" s="47"/>
      <c r="L191" s="17">
        <f t="shared" si="75"/>
        <v>0</v>
      </c>
      <c r="M191" s="47"/>
      <c r="N191" s="17">
        <f t="shared" si="81"/>
        <v>0</v>
      </c>
      <c r="O191" s="47"/>
      <c r="P191" s="47"/>
      <c r="Q191" s="12">
        <f t="shared" si="86"/>
        <v>13</v>
      </c>
      <c r="R191" s="12">
        <v>200</v>
      </c>
      <c r="S191" s="17">
        <f t="shared" si="83"/>
        <v>83.870967741935473</v>
      </c>
      <c r="T191" s="12">
        <v>0</v>
      </c>
      <c r="U191" s="12">
        <v>0</v>
      </c>
      <c r="V191" s="12">
        <v>0</v>
      </c>
      <c r="W191" s="12">
        <v>0</v>
      </c>
      <c r="X191" s="17">
        <f t="shared" si="78"/>
        <v>377.41935483870969</v>
      </c>
      <c r="Y191" s="52"/>
      <c r="Z191" s="52"/>
      <c r="AA191" s="17">
        <f t="shared" si="64"/>
        <v>293.54838709677421</v>
      </c>
      <c r="AB191" s="48"/>
      <c r="AC191" s="48"/>
      <c r="AD191" s="52"/>
      <c r="AE191" s="50"/>
      <c r="AF191" s="51"/>
    </row>
    <row r="192" spans="1:34" x14ac:dyDescent="0.25">
      <c r="A192" s="19">
        <v>191</v>
      </c>
      <c r="B192" s="39">
        <v>777</v>
      </c>
      <c r="C192" s="41" t="s">
        <v>405</v>
      </c>
      <c r="D192" s="46"/>
      <c r="E192" s="47"/>
      <c r="F192" s="17">
        <v>800</v>
      </c>
      <c r="G192" s="12">
        <v>31</v>
      </c>
      <c r="H192" s="12">
        <v>29</v>
      </c>
      <c r="I192" s="18">
        <f t="shared" si="77"/>
        <v>2</v>
      </c>
      <c r="J192" s="17">
        <f t="shared" si="60"/>
        <v>51.612903225806448</v>
      </c>
      <c r="K192" s="47"/>
      <c r="L192" s="17">
        <f t="shared" si="75"/>
        <v>0</v>
      </c>
      <c r="M192" s="47"/>
      <c r="N192" s="17">
        <f t="shared" si="81"/>
        <v>0</v>
      </c>
      <c r="O192" s="47"/>
      <c r="P192" s="47"/>
      <c r="Q192" s="12">
        <f t="shared" si="86"/>
        <v>2</v>
      </c>
      <c r="R192" s="12">
        <v>200</v>
      </c>
      <c r="S192" s="17">
        <f t="shared" si="83"/>
        <v>12.903225806451612</v>
      </c>
      <c r="T192" s="12">
        <v>0</v>
      </c>
      <c r="U192" s="12">
        <v>0</v>
      </c>
      <c r="V192" s="12">
        <v>0</v>
      </c>
      <c r="W192" s="12">
        <v>0</v>
      </c>
      <c r="X192" s="17">
        <f t="shared" si="78"/>
        <v>64.516129032258064</v>
      </c>
      <c r="Y192" s="47"/>
      <c r="Z192" s="47"/>
      <c r="AA192" s="17">
        <f t="shared" si="64"/>
        <v>51.612903225806448</v>
      </c>
      <c r="AB192" s="47"/>
      <c r="AC192" s="47"/>
      <c r="AD192" s="47"/>
      <c r="AE192" s="50"/>
      <c r="AF192" s="51"/>
    </row>
    <row r="193" spans="1:32" x14ac:dyDescent="0.25">
      <c r="A193" s="19">
        <v>192</v>
      </c>
      <c r="B193" s="35">
        <v>2174</v>
      </c>
      <c r="C193" s="36" t="s">
        <v>406</v>
      </c>
      <c r="D193" s="46"/>
      <c r="E193" s="47"/>
      <c r="F193" s="17">
        <v>700</v>
      </c>
      <c r="G193" s="12">
        <v>31</v>
      </c>
      <c r="H193" s="12">
        <v>0</v>
      </c>
      <c r="I193" s="18">
        <f t="shared" si="77"/>
        <v>31</v>
      </c>
      <c r="J193" s="17">
        <f t="shared" si="60"/>
        <v>700</v>
      </c>
      <c r="K193" s="47"/>
      <c r="L193" s="17">
        <f t="shared" si="75"/>
        <v>0</v>
      </c>
      <c r="M193" s="47"/>
      <c r="N193" s="17">
        <f t="shared" si="81"/>
        <v>0</v>
      </c>
      <c r="O193" s="47"/>
      <c r="P193" s="47"/>
      <c r="Q193" s="12">
        <f t="shared" si="86"/>
        <v>31</v>
      </c>
      <c r="R193" s="12">
        <v>200</v>
      </c>
      <c r="S193" s="17">
        <f t="shared" si="83"/>
        <v>200</v>
      </c>
      <c r="T193" s="12">
        <v>0</v>
      </c>
      <c r="U193" s="12">
        <v>0</v>
      </c>
      <c r="V193" s="12">
        <v>0</v>
      </c>
      <c r="W193" s="12">
        <v>0</v>
      </c>
      <c r="X193" s="17">
        <f t="shared" si="78"/>
        <v>900</v>
      </c>
      <c r="Y193" s="47"/>
      <c r="Z193" s="47"/>
      <c r="AA193" s="17">
        <f t="shared" si="64"/>
        <v>700</v>
      </c>
      <c r="AB193" s="47"/>
      <c r="AC193" s="47"/>
      <c r="AD193" s="47"/>
      <c r="AE193" s="50"/>
      <c r="AF193" s="51"/>
    </row>
    <row r="194" spans="1:32" x14ac:dyDescent="0.25">
      <c r="A194" s="19">
        <v>193</v>
      </c>
      <c r="B194" s="42" t="s">
        <v>407</v>
      </c>
      <c r="C194" s="43" t="s">
        <v>408</v>
      </c>
      <c r="D194" s="46"/>
      <c r="E194" s="47">
        <v>700</v>
      </c>
      <c r="F194" s="17">
        <v>700</v>
      </c>
      <c r="G194" s="12">
        <v>31</v>
      </c>
      <c r="H194" s="12">
        <v>0</v>
      </c>
      <c r="I194" s="18">
        <f t="shared" si="77"/>
        <v>31</v>
      </c>
      <c r="J194" s="17">
        <f t="shared" ref="J194:J195" si="88">F194/G194*I194</f>
        <v>700</v>
      </c>
      <c r="K194" s="47"/>
      <c r="L194" s="17">
        <f t="shared" si="75"/>
        <v>0</v>
      </c>
      <c r="M194" s="47"/>
      <c r="N194" s="17">
        <f t="shared" si="81"/>
        <v>0</v>
      </c>
      <c r="O194" s="47"/>
      <c r="P194" s="47"/>
      <c r="Q194" s="12">
        <f t="shared" si="86"/>
        <v>31</v>
      </c>
      <c r="R194" s="12">
        <v>200</v>
      </c>
      <c r="S194" s="17">
        <f t="shared" si="83"/>
        <v>200</v>
      </c>
      <c r="T194" s="12">
        <v>0</v>
      </c>
      <c r="U194" s="12">
        <v>0</v>
      </c>
      <c r="V194" s="12">
        <v>0</v>
      </c>
      <c r="W194" s="12">
        <v>0</v>
      </c>
      <c r="X194" s="17">
        <f t="shared" si="78"/>
        <v>900</v>
      </c>
      <c r="Y194" s="47"/>
      <c r="Z194" s="47"/>
      <c r="AA194" s="17">
        <f t="shared" ref="AA194:AA195" si="89">J194</f>
        <v>700</v>
      </c>
      <c r="AB194" s="47"/>
      <c r="AC194" s="47"/>
      <c r="AD194" s="47"/>
      <c r="AE194" s="50"/>
      <c r="AF194" s="51"/>
    </row>
    <row r="195" spans="1:32" x14ac:dyDescent="0.25">
      <c r="A195" s="19">
        <v>194</v>
      </c>
      <c r="B195" s="44">
        <v>704</v>
      </c>
      <c r="C195" s="45" t="s">
        <v>409</v>
      </c>
      <c r="D195" s="46"/>
      <c r="E195" s="47"/>
      <c r="F195" s="17">
        <v>900</v>
      </c>
      <c r="G195" s="12">
        <v>31</v>
      </c>
      <c r="H195" s="12">
        <v>0</v>
      </c>
      <c r="I195" s="18">
        <f t="shared" si="77"/>
        <v>31</v>
      </c>
      <c r="J195" s="17">
        <f t="shared" si="88"/>
        <v>900</v>
      </c>
      <c r="K195" s="47"/>
      <c r="L195" s="17">
        <f t="shared" si="75"/>
        <v>0</v>
      </c>
      <c r="M195" s="47"/>
      <c r="N195" s="17">
        <f t="shared" si="81"/>
        <v>0</v>
      </c>
      <c r="O195" s="47"/>
      <c r="P195" s="47"/>
      <c r="Q195" s="12">
        <f t="shared" si="86"/>
        <v>31</v>
      </c>
      <c r="R195" s="12">
        <v>200</v>
      </c>
      <c r="S195" s="17">
        <f t="shared" si="83"/>
        <v>200</v>
      </c>
      <c r="T195" s="12">
        <v>0</v>
      </c>
      <c r="U195" s="12">
        <v>0</v>
      </c>
      <c r="V195" s="12">
        <v>0</v>
      </c>
      <c r="W195" s="12">
        <v>0</v>
      </c>
      <c r="X195" s="17">
        <f t="shared" si="78"/>
        <v>1100</v>
      </c>
      <c r="Y195" s="47"/>
      <c r="Z195" s="47"/>
      <c r="AA195" s="17">
        <f t="shared" si="89"/>
        <v>900</v>
      </c>
      <c r="AB195" s="47"/>
      <c r="AC195" s="47"/>
      <c r="AD195" s="47"/>
      <c r="AE195" s="50"/>
      <c r="AF195" s="51"/>
    </row>
  </sheetData>
  <conditionalFormatting sqref="B73">
    <cfRule type="duplicateValues" dxfId="48" priority="3"/>
    <cfRule type="duplicateValues" dxfId="47" priority="4"/>
  </conditionalFormatting>
  <conditionalFormatting sqref="B166">
    <cfRule type="duplicateValues" dxfId="46" priority="5"/>
    <cfRule type="duplicateValues" dxfId="45" priority="6"/>
  </conditionalFormatting>
  <conditionalFormatting sqref="B187:B195">
    <cfRule type="duplicateValues" dxfId="44" priority="1"/>
    <cfRule type="duplicateValues" dxfId="43" priority="2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2727-2AE5-4344-BC5D-5DAFD9702DBB}">
  <dimension ref="A1:AF126"/>
  <sheetViews>
    <sheetView zoomScale="85" zoomScaleNormal="85" workbookViewId="0">
      <pane ySplit="3" topLeftCell="A4" activePane="bottomLeft" state="frozen"/>
      <selection activeCell="B1" sqref="B1"/>
      <selection pane="bottomLeft" activeCell="C121" sqref="C121"/>
    </sheetView>
  </sheetViews>
  <sheetFormatPr defaultColWidth="9.140625" defaultRowHeight="15.75" x14ac:dyDescent="0.25"/>
  <cols>
    <col min="1" max="1" width="4.85546875" style="127" customWidth="1"/>
    <col min="2" max="2" width="5.28515625" style="111" customWidth="1"/>
    <col min="3" max="3" width="21.7109375" customWidth="1"/>
    <col min="4" max="4" width="8" style="128" hidden="1" customWidth="1"/>
    <col min="5" max="5" width="6.28515625" style="105" customWidth="1"/>
    <col min="6" max="6" width="4.85546875" style="104" customWidth="1"/>
    <col min="7" max="7" width="6.5703125" style="106" customWidth="1"/>
    <col min="8" max="8" width="6.7109375" style="105" hidden="1" customWidth="1"/>
    <col min="9" max="9" width="7.42578125" style="105" customWidth="1"/>
    <col min="10" max="10" width="5.85546875" style="105" customWidth="1"/>
    <col min="11" max="11" width="7.140625" style="105" customWidth="1"/>
    <col min="12" max="12" width="7" style="105" customWidth="1"/>
    <col min="13" max="13" width="6.28515625" style="105" customWidth="1"/>
    <col min="14" max="14" width="5.85546875" style="105" customWidth="1"/>
    <col min="15" max="15" width="7.42578125" style="105" customWidth="1"/>
    <col min="16" max="16" width="7" customWidth="1"/>
    <col min="17" max="17" width="7.85546875" style="105" customWidth="1"/>
    <col min="18" max="18" width="7" style="105" customWidth="1"/>
    <col min="19" max="19" width="8.140625" style="128" customWidth="1"/>
    <col min="20" max="20" width="7.5703125" style="128" customWidth="1"/>
    <col min="21" max="21" width="7.42578125" style="128" customWidth="1"/>
    <col min="22" max="22" width="5.5703125" style="128" customWidth="1"/>
    <col min="23" max="23" width="6.85546875" style="105" customWidth="1"/>
    <col min="24" max="24" width="5.42578125" customWidth="1"/>
    <col min="25" max="25" width="6" customWidth="1"/>
    <col min="26" max="26" width="6.140625" customWidth="1"/>
    <col min="27" max="27" width="4.140625" style="32" customWidth="1"/>
    <col min="28" max="28" width="6.28515625" style="33" customWidth="1"/>
    <col min="29" max="29" width="5.140625" customWidth="1"/>
    <col min="30" max="30" width="6.140625" customWidth="1"/>
    <col min="31" max="31" width="7.42578125" customWidth="1"/>
    <col min="32" max="32" width="7.85546875" customWidth="1"/>
  </cols>
  <sheetData>
    <row r="1" spans="1:32" ht="29.25" customHeight="1" thickBot="1" x14ac:dyDescent="0.35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</row>
    <row r="2" spans="1:32" s="11" customFormat="1" ht="66.75" customHeight="1" thickBot="1" x14ac:dyDescent="0.3">
      <c r="A2" s="129" t="s">
        <v>0</v>
      </c>
      <c r="B2" s="129" t="s">
        <v>1</v>
      </c>
      <c r="C2" s="130" t="s">
        <v>2</v>
      </c>
      <c r="D2" s="131" t="s">
        <v>4</v>
      </c>
      <c r="E2" s="132" t="s">
        <v>5</v>
      </c>
      <c r="F2" s="143" t="s">
        <v>540</v>
      </c>
      <c r="G2" s="143" t="s">
        <v>554</v>
      </c>
      <c r="H2" s="143" t="s">
        <v>555</v>
      </c>
      <c r="I2" s="130" t="s">
        <v>6</v>
      </c>
      <c r="J2" s="132" t="s">
        <v>7</v>
      </c>
      <c r="K2" s="130" t="s">
        <v>8</v>
      </c>
      <c r="L2" s="133" t="s">
        <v>9</v>
      </c>
      <c r="M2" s="133" t="s">
        <v>10</v>
      </c>
      <c r="N2" s="133" t="s">
        <v>11</v>
      </c>
      <c r="O2" s="133" t="s">
        <v>12</v>
      </c>
      <c r="P2" s="133" t="s">
        <v>13</v>
      </c>
      <c r="Q2" s="134" t="s">
        <v>14</v>
      </c>
      <c r="R2" s="133" t="s">
        <v>15</v>
      </c>
      <c r="S2" s="133" t="s">
        <v>556</v>
      </c>
      <c r="T2" s="133" t="s">
        <v>557</v>
      </c>
      <c r="U2" s="133" t="s">
        <v>16</v>
      </c>
      <c r="V2" s="133" t="s">
        <v>18</v>
      </c>
      <c r="W2" s="133" t="s">
        <v>514</v>
      </c>
      <c r="X2" s="135" t="s">
        <v>19</v>
      </c>
      <c r="Y2" s="135" t="s">
        <v>540</v>
      </c>
      <c r="Z2" s="135" t="s">
        <v>558</v>
      </c>
      <c r="AA2" s="130" t="s">
        <v>22</v>
      </c>
      <c r="AB2" s="131" t="s">
        <v>23</v>
      </c>
      <c r="AC2" s="131" t="s">
        <v>24</v>
      </c>
      <c r="AD2" s="131" t="s">
        <v>25</v>
      </c>
      <c r="AE2" s="131"/>
      <c r="AF2" s="136" t="s">
        <v>31</v>
      </c>
    </row>
    <row r="3" spans="1:32" s="22" customFormat="1" ht="24.95" customHeight="1" x14ac:dyDescent="0.25">
      <c r="A3" s="152">
        <v>1</v>
      </c>
      <c r="B3" s="152">
        <v>75</v>
      </c>
      <c r="C3" s="153" t="s">
        <v>32</v>
      </c>
      <c r="D3" s="154"/>
      <c r="E3" s="155">
        <v>800</v>
      </c>
      <c r="F3" s="156">
        <v>200</v>
      </c>
      <c r="G3" s="156">
        <v>200</v>
      </c>
      <c r="H3" s="157">
        <f>E3+F3+G3</f>
        <v>1200</v>
      </c>
      <c r="I3" s="152">
        <v>30</v>
      </c>
      <c r="J3" s="158">
        <v>0</v>
      </c>
      <c r="K3" s="152">
        <f t="shared" ref="K3:K66" si="0">I3-J3</f>
        <v>30</v>
      </c>
      <c r="L3" s="156">
        <f t="shared" ref="L3:L66" si="1">E3/I3*K3</f>
        <v>800</v>
      </c>
      <c r="M3" s="152">
        <v>50</v>
      </c>
      <c r="N3" s="156">
        <f t="shared" ref="N3:N66" si="2">E3/30/8*1.25*M3</f>
        <v>208.33333333333334</v>
      </c>
      <c r="O3" s="152">
        <v>122.5</v>
      </c>
      <c r="P3" s="156">
        <f>E3/30*O3/8*1.25</f>
        <v>510.41666666666674</v>
      </c>
      <c r="Q3" s="152">
        <v>28</v>
      </c>
      <c r="R3" s="156">
        <f t="shared" ref="R3:R66" si="3">E3/30*Q3/8*1.5</f>
        <v>140</v>
      </c>
      <c r="S3" s="156">
        <v>12.5</v>
      </c>
      <c r="T3" s="156">
        <f t="shared" ref="T3:T66" si="4">E3/30*S3/8*2.5</f>
        <v>104.16666666666669</v>
      </c>
      <c r="U3" s="152">
        <f t="shared" ref="U3:U66" si="5">K3</f>
        <v>30</v>
      </c>
      <c r="V3" s="156">
        <f t="shared" ref="V3:V8" si="6">G3/I3*U3</f>
        <v>200</v>
      </c>
      <c r="W3" s="156">
        <v>100</v>
      </c>
      <c r="X3" s="152">
        <v>100</v>
      </c>
      <c r="Y3" s="156">
        <f t="shared" ref="Y3:Y66" si="7">F3/I3*K3</f>
        <v>200</v>
      </c>
      <c r="Z3" s="154">
        <v>50</v>
      </c>
      <c r="AA3" s="154"/>
      <c r="AB3" s="157">
        <f t="shared" ref="AB3:AB66" si="8">L3+N3+P3+R3+V3+X3+Y3+Z3-AA3+T3</f>
        <v>2312.9166666666665</v>
      </c>
      <c r="AC3" s="154"/>
      <c r="AD3" s="159"/>
      <c r="AE3" s="156">
        <v>800</v>
      </c>
      <c r="AF3" s="160">
        <f>AB3-AE3</f>
        <v>1512.9166666666665</v>
      </c>
    </row>
    <row r="4" spans="1:32" s="22" customFormat="1" ht="24.95" customHeight="1" x14ac:dyDescent="0.25">
      <c r="A4" s="152">
        <f>A3+1</f>
        <v>2</v>
      </c>
      <c r="B4" s="152">
        <v>182</v>
      </c>
      <c r="C4" s="161" t="s">
        <v>36</v>
      </c>
      <c r="D4" s="162"/>
      <c r="E4" s="155">
        <v>800</v>
      </c>
      <c r="F4" s="156">
        <v>200</v>
      </c>
      <c r="G4" s="156">
        <v>200</v>
      </c>
      <c r="H4" s="157">
        <f t="shared" ref="H4:H67" si="9">E4+F4+G4</f>
        <v>1200</v>
      </c>
      <c r="I4" s="152">
        <v>30</v>
      </c>
      <c r="J4" s="158">
        <v>0</v>
      </c>
      <c r="K4" s="152">
        <f t="shared" si="0"/>
        <v>30</v>
      </c>
      <c r="L4" s="156">
        <f t="shared" si="1"/>
        <v>800</v>
      </c>
      <c r="M4" s="152">
        <v>48</v>
      </c>
      <c r="N4" s="156">
        <f t="shared" si="2"/>
        <v>200</v>
      </c>
      <c r="O4" s="152">
        <v>39</v>
      </c>
      <c r="P4" s="156">
        <f t="shared" ref="P4:P67" si="10">E4/30*O4/8*1.25</f>
        <v>162.5</v>
      </c>
      <c r="Q4" s="152">
        <v>14.5</v>
      </c>
      <c r="R4" s="156">
        <f t="shared" si="3"/>
        <v>72.5</v>
      </c>
      <c r="S4" s="156">
        <v>9.5</v>
      </c>
      <c r="T4" s="156">
        <f t="shared" si="4"/>
        <v>79.166666666666671</v>
      </c>
      <c r="U4" s="152">
        <f t="shared" si="5"/>
        <v>30</v>
      </c>
      <c r="V4" s="156">
        <f t="shared" si="6"/>
        <v>200</v>
      </c>
      <c r="W4" s="156">
        <v>100</v>
      </c>
      <c r="X4" s="152">
        <v>100</v>
      </c>
      <c r="Y4" s="156">
        <f t="shared" si="7"/>
        <v>200</v>
      </c>
      <c r="Z4" s="154">
        <v>25</v>
      </c>
      <c r="AA4" s="162"/>
      <c r="AB4" s="157">
        <f t="shared" si="8"/>
        <v>1839.1666666666667</v>
      </c>
      <c r="AC4" s="162"/>
      <c r="AD4" s="162"/>
      <c r="AE4" s="156">
        <v>773</v>
      </c>
      <c r="AF4" s="160">
        <f t="shared" ref="AF4:AF67" si="11">AB4-AE4</f>
        <v>1066.1666666666667</v>
      </c>
    </row>
    <row r="5" spans="1:32" s="22" customFormat="1" ht="24.95" customHeight="1" x14ac:dyDescent="0.25">
      <c r="A5" s="152">
        <f t="shared" ref="A5:A68" si="12">A4+1</f>
        <v>3</v>
      </c>
      <c r="B5" s="152">
        <v>189</v>
      </c>
      <c r="C5" s="161" t="s">
        <v>38</v>
      </c>
      <c r="D5" s="154"/>
      <c r="E5" s="155">
        <v>800</v>
      </c>
      <c r="F5" s="156">
        <v>200</v>
      </c>
      <c r="G5" s="156">
        <v>200</v>
      </c>
      <c r="H5" s="157">
        <f t="shared" si="9"/>
        <v>1200</v>
      </c>
      <c r="I5" s="152">
        <v>30</v>
      </c>
      <c r="J5" s="158">
        <v>0</v>
      </c>
      <c r="K5" s="152">
        <f t="shared" si="0"/>
        <v>30</v>
      </c>
      <c r="L5" s="156">
        <f t="shared" si="1"/>
        <v>800</v>
      </c>
      <c r="M5" s="152">
        <v>50</v>
      </c>
      <c r="N5" s="156">
        <f t="shared" si="2"/>
        <v>208.33333333333334</v>
      </c>
      <c r="O5" s="152">
        <v>13</v>
      </c>
      <c r="P5" s="156">
        <f t="shared" si="10"/>
        <v>54.166666666666671</v>
      </c>
      <c r="Q5" s="152">
        <v>6.5</v>
      </c>
      <c r="R5" s="156">
        <f t="shared" si="3"/>
        <v>32.5</v>
      </c>
      <c r="S5" s="156">
        <v>11</v>
      </c>
      <c r="T5" s="156">
        <f t="shared" si="4"/>
        <v>91.666666666666686</v>
      </c>
      <c r="U5" s="152">
        <f t="shared" si="5"/>
        <v>30</v>
      </c>
      <c r="V5" s="156">
        <f t="shared" si="6"/>
        <v>200</v>
      </c>
      <c r="W5" s="156">
        <v>100</v>
      </c>
      <c r="X5" s="152">
        <v>100</v>
      </c>
      <c r="Y5" s="156">
        <f t="shared" si="7"/>
        <v>200</v>
      </c>
      <c r="Z5" s="154">
        <v>0</v>
      </c>
      <c r="AA5" s="154"/>
      <c r="AB5" s="157">
        <f t="shared" si="8"/>
        <v>1686.6666666666667</v>
      </c>
      <c r="AC5" s="154"/>
      <c r="AD5" s="154"/>
      <c r="AE5" s="156">
        <v>800</v>
      </c>
      <c r="AF5" s="160">
        <f t="shared" si="11"/>
        <v>886.66666666666674</v>
      </c>
    </row>
    <row r="6" spans="1:32" s="22" customFormat="1" ht="24.95" customHeight="1" x14ac:dyDescent="0.25">
      <c r="A6" s="152">
        <f t="shared" si="12"/>
        <v>4</v>
      </c>
      <c r="B6" s="152">
        <v>213</v>
      </c>
      <c r="C6" s="161" t="s">
        <v>40</v>
      </c>
      <c r="D6" s="154"/>
      <c r="E6" s="155">
        <v>800</v>
      </c>
      <c r="F6" s="156">
        <v>200</v>
      </c>
      <c r="G6" s="156">
        <v>200</v>
      </c>
      <c r="H6" s="157">
        <f t="shared" si="9"/>
        <v>1200</v>
      </c>
      <c r="I6" s="152">
        <v>30</v>
      </c>
      <c r="J6" s="158">
        <v>0</v>
      </c>
      <c r="K6" s="152">
        <f t="shared" si="0"/>
        <v>30</v>
      </c>
      <c r="L6" s="156">
        <f t="shared" si="1"/>
        <v>800</v>
      </c>
      <c r="M6" s="152">
        <v>50</v>
      </c>
      <c r="N6" s="156">
        <f t="shared" si="2"/>
        <v>208.33333333333334</v>
      </c>
      <c r="O6" s="152">
        <v>25</v>
      </c>
      <c r="P6" s="156">
        <f t="shared" si="10"/>
        <v>104.16666666666669</v>
      </c>
      <c r="Q6" s="152">
        <v>24</v>
      </c>
      <c r="R6" s="156">
        <f t="shared" si="3"/>
        <v>120</v>
      </c>
      <c r="S6" s="156">
        <v>11</v>
      </c>
      <c r="T6" s="156">
        <f t="shared" si="4"/>
        <v>91.666666666666686</v>
      </c>
      <c r="U6" s="152">
        <f t="shared" si="5"/>
        <v>30</v>
      </c>
      <c r="V6" s="156">
        <f t="shared" si="6"/>
        <v>200</v>
      </c>
      <c r="W6" s="156">
        <v>100</v>
      </c>
      <c r="X6" s="152">
        <v>100</v>
      </c>
      <c r="Y6" s="156">
        <f t="shared" si="7"/>
        <v>200</v>
      </c>
      <c r="Z6" s="154">
        <v>50</v>
      </c>
      <c r="AA6" s="154"/>
      <c r="AB6" s="157">
        <f t="shared" si="8"/>
        <v>1874.1666666666667</v>
      </c>
      <c r="AC6" s="154"/>
      <c r="AD6" s="154"/>
      <c r="AE6" s="156">
        <v>800</v>
      </c>
      <c r="AF6" s="160">
        <f t="shared" si="11"/>
        <v>1074.1666666666667</v>
      </c>
    </row>
    <row r="7" spans="1:32" s="22" customFormat="1" ht="24.95" customHeight="1" x14ac:dyDescent="0.25">
      <c r="A7" s="152">
        <f t="shared" si="12"/>
        <v>5</v>
      </c>
      <c r="B7" s="152">
        <v>231</v>
      </c>
      <c r="C7" s="161" t="s">
        <v>42</v>
      </c>
      <c r="D7" s="154"/>
      <c r="E7" s="155">
        <v>800</v>
      </c>
      <c r="F7" s="156">
        <v>200</v>
      </c>
      <c r="G7" s="156">
        <v>200</v>
      </c>
      <c r="H7" s="157">
        <f t="shared" si="9"/>
        <v>1200</v>
      </c>
      <c r="I7" s="152">
        <v>30</v>
      </c>
      <c r="J7" s="158">
        <v>30</v>
      </c>
      <c r="K7" s="152">
        <f t="shared" si="0"/>
        <v>0</v>
      </c>
      <c r="L7" s="156">
        <f t="shared" si="1"/>
        <v>0</v>
      </c>
      <c r="M7" s="152">
        <v>0</v>
      </c>
      <c r="N7" s="156">
        <f t="shared" si="2"/>
        <v>0</v>
      </c>
      <c r="O7" s="152">
        <v>0</v>
      </c>
      <c r="P7" s="156">
        <f t="shared" si="10"/>
        <v>0</v>
      </c>
      <c r="Q7" s="152">
        <v>0</v>
      </c>
      <c r="R7" s="156">
        <f t="shared" si="3"/>
        <v>0</v>
      </c>
      <c r="S7" s="156">
        <v>0</v>
      </c>
      <c r="T7" s="156">
        <f t="shared" si="4"/>
        <v>0</v>
      </c>
      <c r="U7" s="152">
        <f t="shared" si="5"/>
        <v>0</v>
      </c>
      <c r="V7" s="156">
        <f t="shared" si="6"/>
        <v>0</v>
      </c>
      <c r="W7" s="156">
        <v>100</v>
      </c>
      <c r="X7" s="152">
        <f>W7/I7*K7</f>
        <v>0</v>
      </c>
      <c r="Y7" s="156">
        <f t="shared" si="7"/>
        <v>0</v>
      </c>
      <c r="Z7" s="154">
        <v>0</v>
      </c>
      <c r="AA7" s="154"/>
      <c r="AB7" s="157">
        <f t="shared" si="8"/>
        <v>0</v>
      </c>
      <c r="AC7" s="154"/>
      <c r="AD7" s="154"/>
      <c r="AE7" s="156">
        <v>0</v>
      </c>
      <c r="AF7" s="160">
        <f t="shared" si="11"/>
        <v>0</v>
      </c>
    </row>
    <row r="8" spans="1:32" s="22" customFormat="1" ht="24.95" customHeight="1" x14ac:dyDescent="0.25">
      <c r="A8" s="152">
        <f>A7+1</f>
        <v>6</v>
      </c>
      <c r="B8" s="152">
        <v>234</v>
      </c>
      <c r="C8" s="161" t="s">
        <v>44</v>
      </c>
      <c r="D8" s="154"/>
      <c r="E8" s="155">
        <v>800</v>
      </c>
      <c r="F8" s="156">
        <v>200</v>
      </c>
      <c r="G8" s="156">
        <v>200</v>
      </c>
      <c r="H8" s="157">
        <f t="shared" si="9"/>
        <v>1200</v>
      </c>
      <c r="I8" s="152">
        <v>30</v>
      </c>
      <c r="J8" s="158">
        <v>0</v>
      </c>
      <c r="K8" s="152">
        <f t="shared" si="0"/>
        <v>30</v>
      </c>
      <c r="L8" s="156">
        <f t="shared" si="1"/>
        <v>800</v>
      </c>
      <c r="M8" s="152">
        <v>50</v>
      </c>
      <c r="N8" s="156">
        <f t="shared" si="2"/>
        <v>208.33333333333334</v>
      </c>
      <c r="O8" s="152">
        <v>0</v>
      </c>
      <c r="P8" s="156">
        <f t="shared" si="10"/>
        <v>0</v>
      </c>
      <c r="Q8" s="152">
        <v>0</v>
      </c>
      <c r="R8" s="156">
        <f t="shared" si="3"/>
        <v>0</v>
      </c>
      <c r="S8" s="156">
        <v>0</v>
      </c>
      <c r="T8" s="156">
        <f t="shared" si="4"/>
        <v>0</v>
      </c>
      <c r="U8" s="152">
        <f t="shared" si="5"/>
        <v>30</v>
      </c>
      <c r="V8" s="156">
        <f t="shared" si="6"/>
        <v>200</v>
      </c>
      <c r="W8" s="156">
        <v>100</v>
      </c>
      <c r="X8" s="152">
        <v>100</v>
      </c>
      <c r="Y8" s="156">
        <f t="shared" si="7"/>
        <v>200</v>
      </c>
      <c r="Z8" s="154">
        <v>0</v>
      </c>
      <c r="AA8" s="154"/>
      <c r="AB8" s="157">
        <f t="shared" si="8"/>
        <v>1508.3333333333335</v>
      </c>
      <c r="AC8" s="154"/>
      <c r="AD8" s="154"/>
      <c r="AE8" s="156">
        <v>800</v>
      </c>
      <c r="AF8" s="160">
        <f t="shared" si="11"/>
        <v>708.33333333333348</v>
      </c>
    </row>
    <row r="9" spans="1:32" s="22" customFormat="1" ht="24.95" customHeight="1" x14ac:dyDescent="0.25">
      <c r="A9" s="152">
        <f t="shared" si="12"/>
        <v>7</v>
      </c>
      <c r="B9" s="152">
        <v>245</v>
      </c>
      <c r="C9" s="161" t="s">
        <v>46</v>
      </c>
      <c r="D9" s="154"/>
      <c r="E9" s="155">
        <v>800</v>
      </c>
      <c r="F9" s="156">
        <v>200</v>
      </c>
      <c r="G9" s="156">
        <v>200</v>
      </c>
      <c r="H9" s="157">
        <f t="shared" si="9"/>
        <v>1200</v>
      </c>
      <c r="I9" s="152">
        <v>30</v>
      </c>
      <c r="J9" s="158">
        <v>0</v>
      </c>
      <c r="K9" s="152">
        <f t="shared" si="0"/>
        <v>30</v>
      </c>
      <c r="L9" s="156">
        <f t="shared" si="1"/>
        <v>800</v>
      </c>
      <c r="M9" s="152">
        <v>50</v>
      </c>
      <c r="N9" s="156">
        <f t="shared" si="2"/>
        <v>208.33333333333334</v>
      </c>
      <c r="O9" s="152">
        <v>0</v>
      </c>
      <c r="P9" s="156">
        <f t="shared" si="10"/>
        <v>0</v>
      </c>
      <c r="Q9" s="152">
        <v>0</v>
      </c>
      <c r="R9" s="156">
        <f t="shared" si="3"/>
        <v>0</v>
      </c>
      <c r="S9" s="156">
        <v>0</v>
      </c>
      <c r="T9" s="156">
        <f t="shared" si="4"/>
        <v>0</v>
      </c>
      <c r="U9" s="152">
        <f t="shared" si="5"/>
        <v>30</v>
      </c>
      <c r="V9" s="163">
        <v>0</v>
      </c>
      <c r="W9" s="156">
        <v>100</v>
      </c>
      <c r="X9" s="152">
        <f>W9/I9*K9</f>
        <v>100</v>
      </c>
      <c r="Y9" s="156">
        <f t="shared" si="7"/>
        <v>200</v>
      </c>
      <c r="Z9" s="154">
        <v>0</v>
      </c>
      <c r="AA9" s="154"/>
      <c r="AB9" s="157">
        <f t="shared" si="8"/>
        <v>1308.3333333333335</v>
      </c>
      <c r="AC9" s="154"/>
      <c r="AD9" s="154"/>
      <c r="AE9" s="156">
        <v>800</v>
      </c>
      <c r="AF9" s="160">
        <f t="shared" si="11"/>
        <v>508.33333333333348</v>
      </c>
    </row>
    <row r="10" spans="1:32" s="22" customFormat="1" ht="24.95" customHeight="1" x14ac:dyDescent="0.25">
      <c r="A10" s="152">
        <f t="shared" si="12"/>
        <v>8</v>
      </c>
      <c r="B10" s="152">
        <v>247</v>
      </c>
      <c r="C10" s="161" t="s">
        <v>48</v>
      </c>
      <c r="D10" s="154"/>
      <c r="E10" s="155">
        <v>800</v>
      </c>
      <c r="F10" s="156">
        <v>200</v>
      </c>
      <c r="G10" s="156">
        <v>200</v>
      </c>
      <c r="H10" s="157">
        <f t="shared" si="9"/>
        <v>1200</v>
      </c>
      <c r="I10" s="152">
        <v>30</v>
      </c>
      <c r="J10" s="158">
        <v>0</v>
      </c>
      <c r="K10" s="152">
        <f t="shared" si="0"/>
        <v>30</v>
      </c>
      <c r="L10" s="156">
        <f t="shared" si="1"/>
        <v>800</v>
      </c>
      <c r="M10" s="152">
        <v>50</v>
      </c>
      <c r="N10" s="156">
        <f t="shared" si="2"/>
        <v>208.33333333333334</v>
      </c>
      <c r="O10" s="152">
        <v>25</v>
      </c>
      <c r="P10" s="156">
        <f t="shared" si="10"/>
        <v>104.16666666666669</v>
      </c>
      <c r="Q10" s="152">
        <v>28</v>
      </c>
      <c r="R10" s="156">
        <f t="shared" si="3"/>
        <v>140</v>
      </c>
      <c r="S10" s="156">
        <v>11</v>
      </c>
      <c r="T10" s="156">
        <f t="shared" si="4"/>
        <v>91.666666666666686</v>
      </c>
      <c r="U10" s="152">
        <f t="shared" si="5"/>
        <v>30</v>
      </c>
      <c r="V10" s="156">
        <f>G10/I10*U10</f>
        <v>200</v>
      </c>
      <c r="W10" s="156">
        <v>100</v>
      </c>
      <c r="X10" s="152">
        <v>100</v>
      </c>
      <c r="Y10" s="156">
        <f t="shared" si="7"/>
        <v>200</v>
      </c>
      <c r="Z10" s="154">
        <v>50</v>
      </c>
      <c r="AA10" s="154"/>
      <c r="AB10" s="157">
        <f t="shared" si="8"/>
        <v>1894.1666666666667</v>
      </c>
      <c r="AC10" s="154"/>
      <c r="AD10" s="154"/>
      <c r="AE10" s="156">
        <v>800</v>
      </c>
      <c r="AF10" s="160">
        <f t="shared" si="11"/>
        <v>1094.1666666666667</v>
      </c>
    </row>
    <row r="11" spans="1:32" s="22" customFormat="1" ht="24.95" customHeight="1" x14ac:dyDescent="0.25">
      <c r="A11" s="152">
        <f t="shared" si="12"/>
        <v>9</v>
      </c>
      <c r="B11" s="152">
        <v>250</v>
      </c>
      <c r="C11" s="161" t="s">
        <v>50</v>
      </c>
      <c r="D11" s="154"/>
      <c r="E11" s="155">
        <v>800</v>
      </c>
      <c r="F11" s="156">
        <v>200</v>
      </c>
      <c r="G11" s="156">
        <v>200</v>
      </c>
      <c r="H11" s="157">
        <f t="shared" si="9"/>
        <v>1200</v>
      </c>
      <c r="I11" s="152">
        <v>30</v>
      </c>
      <c r="J11" s="158">
        <v>0</v>
      </c>
      <c r="K11" s="152">
        <f t="shared" si="0"/>
        <v>30</v>
      </c>
      <c r="L11" s="156">
        <f t="shared" si="1"/>
        <v>800</v>
      </c>
      <c r="M11" s="152">
        <v>50</v>
      </c>
      <c r="N11" s="156">
        <f t="shared" si="2"/>
        <v>208.33333333333334</v>
      </c>
      <c r="O11" s="152">
        <v>0</v>
      </c>
      <c r="P11" s="156">
        <f t="shared" si="10"/>
        <v>0</v>
      </c>
      <c r="Q11" s="152">
        <v>0</v>
      </c>
      <c r="R11" s="156">
        <f t="shared" si="3"/>
        <v>0</v>
      </c>
      <c r="S11" s="156">
        <v>0</v>
      </c>
      <c r="T11" s="156">
        <f t="shared" si="4"/>
        <v>0</v>
      </c>
      <c r="U11" s="152">
        <f t="shared" si="5"/>
        <v>30</v>
      </c>
      <c r="V11" s="156">
        <f>G11/I11*U11</f>
        <v>200</v>
      </c>
      <c r="W11" s="156">
        <v>100</v>
      </c>
      <c r="X11" s="152">
        <f>W11/I11*K11</f>
        <v>100</v>
      </c>
      <c r="Y11" s="156">
        <f t="shared" si="7"/>
        <v>200</v>
      </c>
      <c r="Z11" s="154">
        <v>0</v>
      </c>
      <c r="AA11" s="154"/>
      <c r="AB11" s="157">
        <f t="shared" si="8"/>
        <v>1508.3333333333335</v>
      </c>
      <c r="AC11" s="154"/>
      <c r="AD11" s="154"/>
      <c r="AE11" s="156">
        <v>800</v>
      </c>
      <c r="AF11" s="160">
        <f t="shared" si="11"/>
        <v>708.33333333333348</v>
      </c>
    </row>
    <row r="12" spans="1:32" s="22" customFormat="1" ht="24.95" customHeight="1" x14ac:dyDescent="0.25">
      <c r="A12" s="152">
        <f t="shared" si="12"/>
        <v>10</v>
      </c>
      <c r="B12" s="152">
        <v>265</v>
      </c>
      <c r="C12" s="161" t="s">
        <v>52</v>
      </c>
      <c r="D12" s="154"/>
      <c r="E12" s="155">
        <v>800</v>
      </c>
      <c r="F12" s="156">
        <v>200</v>
      </c>
      <c r="G12" s="156">
        <v>200</v>
      </c>
      <c r="H12" s="157">
        <f t="shared" si="9"/>
        <v>1200</v>
      </c>
      <c r="I12" s="152">
        <v>30</v>
      </c>
      <c r="J12" s="158">
        <v>0</v>
      </c>
      <c r="K12" s="152">
        <f t="shared" si="0"/>
        <v>30</v>
      </c>
      <c r="L12" s="156">
        <f t="shared" si="1"/>
        <v>800</v>
      </c>
      <c r="M12" s="152">
        <v>50</v>
      </c>
      <c r="N12" s="156">
        <f t="shared" si="2"/>
        <v>208.33333333333334</v>
      </c>
      <c r="O12" s="152">
        <v>0</v>
      </c>
      <c r="P12" s="156">
        <f t="shared" si="10"/>
        <v>0</v>
      </c>
      <c r="Q12" s="152">
        <v>10</v>
      </c>
      <c r="R12" s="156">
        <f t="shared" si="3"/>
        <v>50</v>
      </c>
      <c r="S12" s="156">
        <v>0</v>
      </c>
      <c r="T12" s="156">
        <f t="shared" si="4"/>
        <v>0</v>
      </c>
      <c r="U12" s="152">
        <f t="shared" si="5"/>
        <v>30</v>
      </c>
      <c r="V12" s="163">
        <v>0</v>
      </c>
      <c r="W12" s="156">
        <v>100</v>
      </c>
      <c r="X12" s="152">
        <v>100</v>
      </c>
      <c r="Y12" s="156">
        <f t="shared" si="7"/>
        <v>200</v>
      </c>
      <c r="Z12" s="154">
        <v>0</v>
      </c>
      <c r="AA12" s="154"/>
      <c r="AB12" s="157">
        <f t="shared" si="8"/>
        <v>1358.3333333333335</v>
      </c>
      <c r="AC12" s="154"/>
      <c r="AD12" s="154"/>
      <c r="AE12" s="156">
        <v>800</v>
      </c>
      <c r="AF12" s="160">
        <f t="shared" si="11"/>
        <v>558.33333333333348</v>
      </c>
    </row>
    <row r="13" spans="1:32" s="22" customFormat="1" ht="24.95" customHeight="1" x14ac:dyDescent="0.25">
      <c r="A13" s="152">
        <f t="shared" si="12"/>
        <v>11</v>
      </c>
      <c r="B13" s="152">
        <v>484</v>
      </c>
      <c r="C13" s="161" t="s">
        <v>401</v>
      </c>
      <c r="D13" s="154"/>
      <c r="E13" s="155">
        <v>800</v>
      </c>
      <c r="F13" s="156">
        <v>200</v>
      </c>
      <c r="G13" s="156">
        <v>200</v>
      </c>
      <c r="H13" s="157">
        <f t="shared" si="9"/>
        <v>1200</v>
      </c>
      <c r="I13" s="152">
        <v>30</v>
      </c>
      <c r="J13" s="158">
        <v>12</v>
      </c>
      <c r="K13" s="152">
        <f t="shared" si="0"/>
        <v>18</v>
      </c>
      <c r="L13" s="156">
        <f t="shared" si="1"/>
        <v>480</v>
      </c>
      <c r="M13" s="152">
        <v>30</v>
      </c>
      <c r="N13" s="156">
        <f t="shared" si="2"/>
        <v>125.00000000000001</v>
      </c>
      <c r="O13" s="152">
        <v>31</v>
      </c>
      <c r="P13" s="156">
        <f t="shared" si="10"/>
        <v>129.16666666666669</v>
      </c>
      <c r="Q13" s="152">
        <v>10</v>
      </c>
      <c r="R13" s="156">
        <f t="shared" si="3"/>
        <v>50</v>
      </c>
      <c r="S13" s="156">
        <v>6.5</v>
      </c>
      <c r="T13" s="156">
        <f t="shared" si="4"/>
        <v>54.166666666666671</v>
      </c>
      <c r="U13" s="152">
        <f t="shared" si="5"/>
        <v>18</v>
      </c>
      <c r="V13" s="156">
        <f t="shared" ref="V13:V18" si="13">G13/I13*U13</f>
        <v>120</v>
      </c>
      <c r="W13" s="156">
        <v>100</v>
      </c>
      <c r="X13" s="152">
        <v>0</v>
      </c>
      <c r="Y13" s="156">
        <f t="shared" si="7"/>
        <v>120</v>
      </c>
      <c r="Z13" s="154">
        <v>0</v>
      </c>
      <c r="AA13" s="154"/>
      <c r="AB13" s="157">
        <f t="shared" si="8"/>
        <v>1078.3333333333335</v>
      </c>
      <c r="AC13" s="164"/>
      <c r="AD13" s="164"/>
      <c r="AE13" s="156">
        <v>507</v>
      </c>
      <c r="AF13" s="160">
        <f t="shared" si="11"/>
        <v>571.33333333333348</v>
      </c>
    </row>
    <row r="14" spans="1:32" s="22" customFormat="1" ht="24.95" customHeight="1" x14ac:dyDescent="0.25">
      <c r="A14" s="152">
        <f t="shared" si="12"/>
        <v>12</v>
      </c>
      <c r="B14" s="152">
        <v>603</v>
      </c>
      <c r="C14" s="161" t="s">
        <v>62</v>
      </c>
      <c r="D14" s="154"/>
      <c r="E14" s="155">
        <v>700</v>
      </c>
      <c r="F14" s="156">
        <v>300</v>
      </c>
      <c r="G14" s="156">
        <v>200</v>
      </c>
      <c r="H14" s="157">
        <f t="shared" si="9"/>
        <v>1200</v>
      </c>
      <c r="I14" s="152">
        <v>30</v>
      </c>
      <c r="J14" s="158">
        <v>0</v>
      </c>
      <c r="K14" s="152">
        <f t="shared" si="0"/>
        <v>30</v>
      </c>
      <c r="L14" s="156">
        <f t="shared" si="1"/>
        <v>700</v>
      </c>
      <c r="M14" s="152">
        <v>50</v>
      </c>
      <c r="N14" s="156">
        <f t="shared" si="2"/>
        <v>182.29166666666666</v>
      </c>
      <c r="O14" s="152">
        <v>25</v>
      </c>
      <c r="P14" s="156">
        <f t="shared" si="10"/>
        <v>91.145833333333314</v>
      </c>
      <c r="Q14" s="152">
        <v>18</v>
      </c>
      <c r="R14" s="156">
        <f t="shared" si="3"/>
        <v>78.75</v>
      </c>
      <c r="S14" s="156">
        <v>11</v>
      </c>
      <c r="T14" s="156">
        <f t="shared" si="4"/>
        <v>80.208333333333314</v>
      </c>
      <c r="U14" s="152">
        <f t="shared" si="5"/>
        <v>30</v>
      </c>
      <c r="V14" s="156">
        <f t="shared" si="13"/>
        <v>200</v>
      </c>
      <c r="W14" s="156">
        <v>100</v>
      </c>
      <c r="X14" s="152">
        <v>100</v>
      </c>
      <c r="Y14" s="156">
        <f t="shared" si="7"/>
        <v>300</v>
      </c>
      <c r="Z14" s="154">
        <v>50</v>
      </c>
      <c r="AA14" s="154"/>
      <c r="AB14" s="157">
        <f t="shared" si="8"/>
        <v>1782.3958333333333</v>
      </c>
      <c r="AC14" s="154"/>
      <c r="AD14" s="154"/>
      <c r="AE14" s="156">
        <v>700</v>
      </c>
      <c r="AF14" s="160">
        <f t="shared" si="11"/>
        <v>1082.3958333333333</v>
      </c>
    </row>
    <row r="15" spans="1:32" s="22" customFormat="1" ht="24.95" customHeight="1" x14ac:dyDescent="0.25">
      <c r="A15" s="152">
        <f t="shared" si="12"/>
        <v>13</v>
      </c>
      <c r="B15" s="152">
        <v>604</v>
      </c>
      <c r="C15" s="161" t="s">
        <v>64</v>
      </c>
      <c r="D15" s="155"/>
      <c r="E15" s="155">
        <v>700</v>
      </c>
      <c r="F15" s="156">
        <v>300</v>
      </c>
      <c r="G15" s="156">
        <v>200</v>
      </c>
      <c r="H15" s="157">
        <f t="shared" si="9"/>
        <v>1200</v>
      </c>
      <c r="I15" s="152">
        <v>30</v>
      </c>
      <c r="J15" s="158">
        <v>0</v>
      </c>
      <c r="K15" s="152">
        <f t="shared" si="0"/>
        <v>30</v>
      </c>
      <c r="L15" s="156">
        <f t="shared" si="1"/>
        <v>700</v>
      </c>
      <c r="M15" s="152">
        <v>50</v>
      </c>
      <c r="N15" s="156">
        <f t="shared" si="2"/>
        <v>182.29166666666666</v>
      </c>
      <c r="O15" s="152">
        <v>51</v>
      </c>
      <c r="P15" s="156">
        <f t="shared" si="10"/>
        <v>185.9375</v>
      </c>
      <c r="Q15" s="152">
        <v>12</v>
      </c>
      <c r="R15" s="156">
        <f t="shared" si="3"/>
        <v>52.5</v>
      </c>
      <c r="S15" s="156">
        <v>11</v>
      </c>
      <c r="T15" s="156">
        <f t="shared" si="4"/>
        <v>80.208333333333314</v>
      </c>
      <c r="U15" s="152">
        <f t="shared" si="5"/>
        <v>30</v>
      </c>
      <c r="V15" s="156">
        <f t="shared" si="13"/>
        <v>200</v>
      </c>
      <c r="W15" s="156">
        <v>100</v>
      </c>
      <c r="X15" s="152">
        <v>100</v>
      </c>
      <c r="Y15" s="156">
        <f t="shared" si="7"/>
        <v>300</v>
      </c>
      <c r="Z15" s="154">
        <v>25</v>
      </c>
      <c r="AA15" s="154"/>
      <c r="AB15" s="157">
        <f t="shared" si="8"/>
        <v>1825.9374999999998</v>
      </c>
      <c r="AC15" s="154"/>
      <c r="AD15" s="154"/>
      <c r="AE15" s="156">
        <v>700</v>
      </c>
      <c r="AF15" s="160">
        <f t="shared" si="11"/>
        <v>1125.9374999999998</v>
      </c>
    </row>
    <row r="16" spans="1:32" s="22" customFormat="1" ht="24.95" customHeight="1" x14ac:dyDescent="0.25">
      <c r="A16" s="152">
        <f t="shared" si="12"/>
        <v>14</v>
      </c>
      <c r="B16" s="152">
        <v>606</v>
      </c>
      <c r="C16" s="161" t="s">
        <v>411</v>
      </c>
      <c r="D16" s="154"/>
      <c r="E16" s="155">
        <v>900</v>
      </c>
      <c r="F16" s="156">
        <v>200</v>
      </c>
      <c r="G16" s="156">
        <v>200</v>
      </c>
      <c r="H16" s="157">
        <f t="shared" si="9"/>
        <v>1300</v>
      </c>
      <c r="I16" s="152">
        <v>30</v>
      </c>
      <c r="J16" s="158">
        <v>0</v>
      </c>
      <c r="K16" s="152">
        <f t="shared" si="0"/>
        <v>30</v>
      </c>
      <c r="L16" s="156">
        <f t="shared" si="1"/>
        <v>900</v>
      </c>
      <c r="M16" s="152">
        <v>48</v>
      </c>
      <c r="N16" s="156">
        <f t="shared" si="2"/>
        <v>225</v>
      </c>
      <c r="O16" s="152">
        <v>24</v>
      </c>
      <c r="P16" s="156">
        <f t="shared" si="10"/>
        <v>112.5</v>
      </c>
      <c r="Q16" s="152">
        <v>12</v>
      </c>
      <c r="R16" s="156">
        <f t="shared" si="3"/>
        <v>67.5</v>
      </c>
      <c r="S16" s="156">
        <v>11</v>
      </c>
      <c r="T16" s="156">
        <f t="shared" si="4"/>
        <v>103.125</v>
      </c>
      <c r="U16" s="152">
        <f t="shared" si="5"/>
        <v>30</v>
      </c>
      <c r="V16" s="156">
        <f t="shared" si="13"/>
        <v>200</v>
      </c>
      <c r="W16" s="156">
        <v>100</v>
      </c>
      <c r="X16" s="152">
        <f>W16/I16*K16</f>
        <v>100</v>
      </c>
      <c r="Y16" s="156">
        <f t="shared" si="7"/>
        <v>200</v>
      </c>
      <c r="Z16" s="154">
        <v>25</v>
      </c>
      <c r="AA16" s="154"/>
      <c r="AB16" s="157">
        <f t="shared" si="8"/>
        <v>1933.125</v>
      </c>
      <c r="AC16" s="164"/>
      <c r="AD16" s="164"/>
      <c r="AE16" s="156">
        <v>900</v>
      </c>
      <c r="AF16" s="160">
        <f t="shared" si="11"/>
        <v>1033.125</v>
      </c>
    </row>
    <row r="17" spans="1:32" s="22" customFormat="1" ht="24.95" customHeight="1" x14ac:dyDescent="0.25">
      <c r="A17" s="152">
        <f t="shared" si="12"/>
        <v>15</v>
      </c>
      <c r="B17" s="152">
        <v>626</v>
      </c>
      <c r="C17" s="161" t="s">
        <v>66</v>
      </c>
      <c r="D17" s="154"/>
      <c r="E17" s="155">
        <v>900</v>
      </c>
      <c r="F17" s="156">
        <v>100</v>
      </c>
      <c r="G17" s="156">
        <v>200</v>
      </c>
      <c r="H17" s="157">
        <f t="shared" si="9"/>
        <v>1200</v>
      </c>
      <c r="I17" s="152">
        <v>30</v>
      </c>
      <c r="J17" s="158">
        <v>0</v>
      </c>
      <c r="K17" s="152">
        <f t="shared" si="0"/>
        <v>30</v>
      </c>
      <c r="L17" s="156">
        <f t="shared" si="1"/>
        <v>900</v>
      </c>
      <c r="M17" s="152">
        <v>50</v>
      </c>
      <c r="N17" s="156">
        <f t="shared" si="2"/>
        <v>234.375</v>
      </c>
      <c r="O17" s="152">
        <v>13</v>
      </c>
      <c r="P17" s="156">
        <f t="shared" si="10"/>
        <v>60.9375</v>
      </c>
      <c r="Q17" s="152">
        <v>6.5</v>
      </c>
      <c r="R17" s="156">
        <f t="shared" si="3"/>
        <v>36.5625</v>
      </c>
      <c r="S17" s="156">
        <v>11</v>
      </c>
      <c r="T17" s="156">
        <f t="shared" si="4"/>
        <v>103.125</v>
      </c>
      <c r="U17" s="152">
        <f t="shared" si="5"/>
        <v>30</v>
      </c>
      <c r="V17" s="156">
        <f t="shared" si="13"/>
        <v>200</v>
      </c>
      <c r="W17" s="156">
        <v>100</v>
      </c>
      <c r="X17" s="152">
        <v>100</v>
      </c>
      <c r="Y17" s="156">
        <f t="shared" si="7"/>
        <v>100</v>
      </c>
      <c r="Z17" s="154">
        <v>0</v>
      </c>
      <c r="AA17" s="154"/>
      <c r="AB17" s="157">
        <f t="shared" si="8"/>
        <v>1735</v>
      </c>
      <c r="AC17" s="154"/>
      <c r="AD17" s="154"/>
      <c r="AE17" s="156">
        <v>900</v>
      </c>
      <c r="AF17" s="160">
        <f t="shared" si="11"/>
        <v>835</v>
      </c>
    </row>
    <row r="18" spans="1:32" s="22" customFormat="1" ht="24.95" customHeight="1" x14ac:dyDescent="0.25">
      <c r="A18" s="152">
        <f t="shared" si="12"/>
        <v>16</v>
      </c>
      <c r="B18" s="152">
        <v>652</v>
      </c>
      <c r="C18" s="161" t="s">
        <v>71</v>
      </c>
      <c r="D18" s="154"/>
      <c r="E18" s="155">
        <v>900</v>
      </c>
      <c r="F18" s="156">
        <v>100</v>
      </c>
      <c r="G18" s="156">
        <v>200</v>
      </c>
      <c r="H18" s="157">
        <f t="shared" si="9"/>
        <v>1200</v>
      </c>
      <c r="I18" s="152">
        <v>30</v>
      </c>
      <c r="J18" s="158">
        <v>2</v>
      </c>
      <c r="K18" s="152">
        <f t="shared" si="0"/>
        <v>28</v>
      </c>
      <c r="L18" s="156">
        <f t="shared" si="1"/>
        <v>840</v>
      </c>
      <c r="M18" s="152">
        <v>44</v>
      </c>
      <c r="N18" s="156">
        <f t="shared" si="2"/>
        <v>206.25</v>
      </c>
      <c r="O18" s="152">
        <v>22</v>
      </c>
      <c r="P18" s="156">
        <f t="shared" si="10"/>
        <v>103.125</v>
      </c>
      <c r="Q18" s="152">
        <v>18</v>
      </c>
      <c r="R18" s="156">
        <f t="shared" si="3"/>
        <v>101.25</v>
      </c>
      <c r="S18" s="156">
        <v>11</v>
      </c>
      <c r="T18" s="156">
        <f t="shared" si="4"/>
        <v>103.125</v>
      </c>
      <c r="U18" s="152">
        <f t="shared" si="5"/>
        <v>28</v>
      </c>
      <c r="V18" s="156">
        <f t="shared" si="13"/>
        <v>186.66666666666669</v>
      </c>
      <c r="W18" s="156">
        <v>100</v>
      </c>
      <c r="X18" s="152">
        <v>0</v>
      </c>
      <c r="Y18" s="156">
        <f t="shared" si="7"/>
        <v>93.333333333333343</v>
      </c>
      <c r="Z18" s="154">
        <v>50</v>
      </c>
      <c r="AA18" s="155"/>
      <c r="AB18" s="157">
        <f t="shared" si="8"/>
        <v>1683.75</v>
      </c>
      <c r="AC18" s="154"/>
      <c r="AD18" s="164"/>
      <c r="AE18" s="156">
        <v>840</v>
      </c>
      <c r="AF18" s="160">
        <f t="shared" si="11"/>
        <v>843.75</v>
      </c>
    </row>
    <row r="19" spans="1:32" s="22" customFormat="1" ht="24.95" customHeight="1" x14ac:dyDescent="0.25">
      <c r="A19" s="152">
        <f t="shared" si="12"/>
        <v>17</v>
      </c>
      <c r="B19" s="152">
        <v>662</v>
      </c>
      <c r="C19" s="161" t="s">
        <v>75</v>
      </c>
      <c r="D19" s="154"/>
      <c r="E19" s="155">
        <v>900</v>
      </c>
      <c r="F19" s="156">
        <v>100</v>
      </c>
      <c r="G19" s="156">
        <v>200</v>
      </c>
      <c r="H19" s="157">
        <f t="shared" si="9"/>
        <v>1200</v>
      </c>
      <c r="I19" s="152">
        <v>30</v>
      </c>
      <c r="J19" s="158">
        <v>0</v>
      </c>
      <c r="K19" s="152">
        <f t="shared" si="0"/>
        <v>30</v>
      </c>
      <c r="L19" s="156">
        <f t="shared" si="1"/>
        <v>900</v>
      </c>
      <c r="M19" s="152">
        <v>50</v>
      </c>
      <c r="N19" s="156">
        <f t="shared" si="2"/>
        <v>234.375</v>
      </c>
      <c r="O19" s="152">
        <v>0</v>
      </c>
      <c r="P19" s="156">
        <f t="shared" si="10"/>
        <v>0</v>
      </c>
      <c r="Q19" s="152">
        <v>0</v>
      </c>
      <c r="R19" s="156">
        <f t="shared" si="3"/>
        <v>0</v>
      </c>
      <c r="S19" s="156">
        <v>0</v>
      </c>
      <c r="T19" s="156">
        <f t="shared" si="4"/>
        <v>0</v>
      </c>
      <c r="U19" s="152">
        <f t="shared" si="5"/>
        <v>30</v>
      </c>
      <c r="V19" s="163">
        <v>0</v>
      </c>
      <c r="W19" s="156">
        <v>100</v>
      </c>
      <c r="X19" s="152">
        <v>100</v>
      </c>
      <c r="Y19" s="156">
        <f t="shared" si="7"/>
        <v>100</v>
      </c>
      <c r="Z19" s="154">
        <v>0</v>
      </c>
      <c r="AA19" s="154"/>
      <c r="AB19" s="157">
        <f t="shared" si="8"/>
        <v>1334.375</v>
      </c>
      <c r="AC19" s="154"/>
      <c r="AD19" s="154"/>
      <c r="AE19" s="156">
        <v>900</v>
      </c>
      <c r="AF19" s="160">
        <f t="shared" si="11"/>
        <v>434.375</v>
      </c>
    </row>
    <row r="20" spans="1:32" s="22" customFormat="1" ht="24.95" customHeight="1" x14ac:dyDescent="0.25">
      <c r="A20" s="152">
        <f t="shared" si="12"/>
        <v>18</v>
      </c>
      <c r="B20" s="152">
        <v>669</v>
      </c>
      <c r="C20" s="161" t="s">
        <v>421</v>
      </c>
      <c r="D20" s="164"/>
      <c r="E20" s="155">
        <v>700</v>
      </c>
      <c r="F20" s="156">
        <v>100</v>
      </c>
      <c r="G20" s="156">
        <v>200</v>
      </c>
      <c r="H20" s="157">
        <f t="shared" si="9"/>
        <v>1000</v>
      </c>
      <c r="I20" s="152">
        <v>30</v>
      </c>
      <c r="J20" s="158">
        <v>21</v>
      </c>
      <c r="K20" s="152">
        <f t="shared" si="0"/>
        <v>9</v>
      </c>
      <c r="L20" s="156">
        <f t="shared" si="1"/>
        <v>210</v>
      </c>
      <c r="M20" s="152">
        <v>16</v>
      </c>
      <c r="N20" s="156">
        <f t="shared" si="2"/>
        <v>58.333333333333329</v>
      </c>
      <c r="O20" s="152">
        <v>16</v>
      </c>
      <c r="P20" s="156">
        <f t="shared" si="10"/>
        <v>58.333333333333329</v>
      </c>
      <c r="Q20" s="152">
        <v>0</v>
      </c>
      <c r="R20" s="156">
        <f t="shared" si="3"/>
        <v>0</v>
      </c>
      <c r="S20" s="156">
        <v>0</v>
      </c>
      <c r="T20" s="156">
        <f t="shared" si="4"/>
        <v>0</v>
      </c>
      <c r="U20" s="152">
        <f t="shared" si="5"/>
        <v>9</v>
      </c>
      <c r="V20" s="156">
        <f>G20/I20*U20</f>
        <v>60</v>
      </c>
      <c r="W20" s="156">
        <v>100</v>
      </c>
      <c r="X20" s="152">
        <v>0</v>
      </c>
      <c r="Y20" s="156">
        <f t="shared" si="7"/>
        <v>30</v>
      </c>
      <c r="Z20" s="154">
        <v>0</v>
      </c>
      <c r="AA20" s="164"/>
      <c r="AB20" s="157">
        <f t="shared" si="8"/>
        <v>416.66666666666663</v>
      </c>
      <c r="AC20" s="164"/>
      <c r="AD20" s="164"/>
      <c r="AE20" s="156">
        <v>210</v>
      </c>
      <c r="AF20" s="160">
        <f t="shared" si="11"/>
        <v>206.66666666666663</v>
      </c>
    </row>
    <row r="21" spans="1:32" s="22" customFormat="1" ht="24.95" customHeight="1" x14ac:dyDescent="0.25">
      <c r="A21" s="152">
        <f t="shared" si="12"/>
        <v>19</v>
      </c>
      <c r="B21" s="152">
        <v>670</v>
      </c>
      <c r="C21" s="161" t="s">
        <v>78</v>
      </c>
      <c r="D21" s="154"/>
      <c r="E21" s="155">
        <v>800</v>
      </c>
      <c r="F21" s="156">
        <v>100</v>
      </c>
      <c r="G21" s="156">
        <v>200</v>
      </c>
      <c r="H21" s="157">
        <f t="shared" si="9"/>
        <v>1100</v>
      </c>
      <c r="I21" s="152">
        <v>30</v>
      </c>
      <c r="J21" s="158">
        <v>0</v>
      </c>
      <c r="K21" s="152">
        <f t="shared" si="0"/>
        <v>30</v>
      </c>
      <c r="L21" s="156">
        <f t="shared" si="1"/>
        <v>800</v>
      </c>
      <c r="M21" s="152">
        <v>50</v>
      </c>
      <c r="N21" s="156">
        <f t="shared" si="2"/>
        <v>208.33333333333334</v>
      </c>
      <c r="O21" s="152">
        <v>30</v>
      </c>
      <c r="P21" s="156">
        <f t="shared" si="10"/>
        <v>125</v>
      </c>
      <c r="Q21" s="152">
        <v>32</v>
      </c>
      <c r="R21" s="156">
        <f t="shared" si="3"/>
        <v>160</v>
      </c>
      <c r="S21" s="156">
        <v>11</v>
      </c>
      <c r="T21" s="156">
        <f t="shared" si="4"/>
        <v>91.666666666666686</v>
      </c>
      <c r="U21" s="152">
        <f t="shared" si="5"/>
        <v>30</v>
      </c>
      <c r="V21" s="156">
        <f>G21/I21*U21</f>
        <v>200</v>
      </c>
      <c r="W21" s="156">
        <v>100</v>
      </c>
      <c r="X21" s="152">
        <f>W21/I21*K21</f>
        <v>100</v>
      </c>
      <c r="Y21" s="156">
        <f t="shared" si="7"/>
        <v>100</v>
      </c>
      <c r="Z21" s="154">
        <v>50</v>
      </c>
      <c r="AA21" s="154"/>
      <c r="AB21" s="157">
        <f t="shared" si="8"/>
        <v>1835.0000000000002</v>
      </c>
      <c r="AC21" s="154"/>
      <c r="AD21" s="154"/>
      <c r="AE21" s="156">
        <v>800</v>
      </c>
      <c r="AF21" s="160">
        <f t="shared" si="11"/>
        <v>1035.0000000000002</v>
      </c>
    </row>
    <row r="22" spans="1:32" s="22" customFormat="1" ht="24.95" customHeight="1" x14ac:dyDescent="0.25">
      <c r="A22" s="152">
        <f t="shared" si="12"/>
        <v>20</v>
      </c>
      <c r="B22" s="152">
        <v>693</v>
      </c>
      <c r="C22" s="161" t="s">
        <v>84</v>
      </c>
      <c r="D22" s="154"/>
      <c r="E22" s="155">
        <v>800</v>
      </c>
      <c r="F22" s="156">
        <v>100</v>
      </c>
      <c r="G22" s="156">
        <v>200</v>
      </c>
      <c r="H22" s="157">
        <f t="shared" si="9"/>
        <v>1100</v>
      </c>
      <c r="I22" s="152">
        <v>30</v>
      </c>
      <c r="J22" s="165">
        <v>0</v>
      </c>
      <c r="K22" s="152">
        <f t="shared" si="0"/>
        <v>30</v>
      </c>
      <c r="L22" s="156">
        <f t="shared" si="1"/>
        <v>800</v>
      </c>
      <c r="M22" s="152">
        <v>48</v>
      </c>
      <c r="N22" s="156">
        <f t="shared" si="2"/>
        <v>200</v>
      </c>
      <c r="O22" s="152">
        <v>12</v>
      </c>
      <c r="P22" s="156">
        <f t="shared" si="10"/>
        <v>50</v>
      </c>
      <c r="Q22" s="152">
        <v>6.5</v>
      </c>
      <c r="R22" s="156">
        <f t="shared" si="3"/>
        <v>32.5</v>
      </c>
      <c r="S22" s="156">
        <v>11</v>
      </c>
      <c r="T22" s="156">
        <f t="shared" si="4"/>
        <v>91.666666666666686</v>
      </c>
      <c r="U22" s="152">
        <f t="shared" si="5"/>
        <v>30</v>
      </c>
      <c r="V22" s="156">
        <f>G22/I22*U22</f>
        <v>200</v>
      </c>
      <c r="W22" s="156">
        <v>100</v>
      </c>
      <c r="X22" s="166">
        <f>W22/I22*K22</f>
        <v>100</v>
      </c>
      <c r="Y22" s="156">
        <f t="shared" si="7"/>
        <v>100</v>
      </c>
      <c r="Z22" s="154">
        <v>0</v>
      </c>
      <c r="AA22" s="164"/>
      <c r="AB22" s="157">
        <f t="shared" si="8"/>
        <v>1574.1666666666667</v>
      </c>
      <c r="AC22" s="164"/>
      <c r="AD22" s="164"/>
      <c r="AE22" s="156">
        <v>800</v>
      </c>
      <c r="AF22" s="160">
        <f t="shared" si="11"/>
        <v>774.16666666666674</v>
      </c>
    </row>
    <row r="23" spans="1:32" s="22" customFormat="1" ht="24.95" customHeight="1" x14ac:dyDescent="0.25">
      <c r="A23" s="152">
        <f t="shared" si="12"/>
        <v>21</v>
      </c>
      <c r="B23" s="152">
        <v>695</v>
      </c>
      <c r="C23" s="161" t="s">
        <v>88</v>
      </c>
      <c r="D23" s="154"/>
      <c r="E23" s="155">
        <v>700</v>
      </c>
      <c r="F23" s="156">
        <v>100</v>
      </c>
      <c r="G23" s="156">
        <v>200</v>
      </c>
      <c r="H23" s="157">
        <f t="shared" si="9"/>
        <v>1000</v>
      </c>
      <c r="I23" s="152">
        <v>30</v>
      </c>
      <c r="J23" s="158">
        <v>0</v>
      </c>
      <c r="K23" s="152">
        <f t="shared" si="0"/>
        <v>30</v>
      </c>
      <c r="L23" s="156">
        <f t="shared" si="1"/>
        <v>700</v>
      </c>
      <c r="M23" s="152">
        <v>48</v>
      </c>
      <c r="N23" s="156">
        <f t="shared" si="2"/>
        <v>175</v>
      </c>
      <c r="O23" s="152">
        <v>0</v>
      </c>
      <c r="P23" s="156">
        <f t="shared" si="10"/>
        <v>0</v>
      </c>
      <c r="Q23" s="152">
        <v>0</v>
      </c>
      <c r="R23" s="156">
        <f t="shared" si="3"/>
        <v>0</v>
      </c>
      <c r="S23" s="156">
        <v>0</v>
      </c>
      <c r="T23" s="156">
        <f t="shared" si="4"/>
        <v>0</v>
      </c>
      <c r="U23" s="152">
        <f t="shared" si="5"/>
        <v>30</v>
      </c>
      <c r="V23" s="156">
        <f>G23/I23*U23</f>
        <v>200</v>
      </c>
      <c r="W23" s="156">
        <v>100</v>
      </c>
      <c r="X23" s="152">
        <f>W23/I23*K23</f>
        <v>100</v>
      </c>
      <c r="Y23" s="156">
        <f t="shared" si="7"/>
        <v>100</v>
      </c>
      <c r="Z23" s="154">
        <v>0</v>
      </c>
      <c r="AA23" s="154"/>
      <c r="AB23" s="157">
        <f t="shared" si="8"/>
        <v>1275</v>
      </c>
      <c r="AC23" s="154"/>
      <c r="AD23" s="154"/>
      <c r="AE23" s="156">
        <v>700</v>
      </c>
      <c r="AF23" s="160">
        <f t="shared" si="11"/>
        <v>575</v>
      </c>
    </row>
    <row r="24" spans="1:32" s="22" customFormat="1" ht="24.95" customHeight="1" x14ac:dyDescent="0.25">
      <c r="A24" s="152">
        <f t="shared" si="12"/>
        <v>22</v>
      </c>
      <c r="B24" s="152">
        <v>704</v>
      </c>
      <c r="C24" s="161" t="s">
        <v>409</v>
      </c>
      <c r="D24" s="154"/>
      <c r="E24" s="155">
        <v>900</v>
      </c>
      <c r="F24" s="156">
        <v>100</v>
      </c>
      <c r="G24" s="156">
        <v>200</v>
      </c>
      <c r="H24" s="157">
        <f t="shared" si="9"/>
        <v>1200</v>
      </c>
      <c r="I24" s="152">
        <v>30</v>
      </c>
      <c r="J24" s="158">
        <v>1</v>
      </c>
      <c r="K24" s="152">
        <f t="shared" si="0"/>
        <v>29</v>
      </c>
      <c r="L24" s="156">
        <f t="shared" si="1"/>
        <v>870</v>
      </c>
      <c r="M24" s="152">
        <v>48</v>
      </c>
      <c r="N24" s="156">
        <f t="shared" si="2"/>
        <v>225</v>
      </c>
      <c r="O24" s="152">
        <v>0</v>
      </c>
      <c r="P24" s="156">
        <f t="shared" si="10"/>
        <v>0</v>
      </c>
      <c r="Q24" s="152">
        <v>0</v>
      </c>
      <c r="R24" s="156">
        <f t="shared" si="3"/>
        <v>0</v>
      </c>
      <c r="S24" s="156">
        <v>0</v>
      </c>
      <c r="T24" s="156">
        <f t="shared" si="4"/>
        <v>0</v>
      </c>
      <c r="U24" s="152">
        <f t="shared" si="5"/>
        <v>29</v>
      </c>
      <c r="V24" s="163">
        <v>0</v>
      </c>
      <c r="W24" s="156">
        <v>100</v>
      </c>
      <c r="X24" s="152">
        <v>0</v>
      </c>
      <c r="Y24" s="156">
        <f t="shared" si="7"/>
        <v>96.666666666666671</v>
      </c>
      <c r="Z24" s="154">
        <v>0</v>
      </c>
      <c r="AA24" s="154"/>
      <c r="AB24" s="157">
        <f t="shared" si="8"/>
        <v>1191.6666666666667</v>
      </c>
      <c r="AC24" s="164"/>
      <c r="AD24" s="164"/>
      <c r="AE24" s="156">
        <v>900</v>
      </c>
      <c r="AF24" s="160">
        <f t="shared" si="11"/>
        <v>291.66666666666674</v>
      </c>
    </row>
    <row r="25" spans="1:32" s="22" customFormat="1" ht="24.95" customHeight="1" x14ac:dyDescent="0.25">
      <c r="A25" s="152">
        <f t="shared" si="12"/>
        <v>23</v>
      </c>
      <c r="B25" s="152">
        <v>777</v>
      </c>
      <c r="C25" s="161" t="s">
        <v>405</v>
      </c>
      <c r="D25" s="154"/>
      <c r="E25" s="155">
        <v>800</v>
      </c>
      <c r="F25" s="156">
        <v>200</v>
      </c>
      <c r="G25" s="156">
        <v>200</v>
      </c>
      <c r="H25" s="157">
        <f t="shared" si="9"/>
        <v>1200</v>
      </c>
      <c r="I25" s="152">
        <v>30</v>
      </c>
      <c r="J25" s="158">
        <v>1</v>
      </c>
      <c r="K25" s="152">
        <f t="shared" si="0"/>
        <v>29</v>
      </c>
      <c r="L25" s="156">
        <f t="shared" si="1"/>
        <v>773.33333333333337</v>
      </c>
      <c r="M25" s="152">
        <v>48</v>
      </c>
      <c r="N25" s="156">
        <f t="shared" si="2"/>
        <v>200</v>
      </c>
      <c r="O25" s="152">
        <v>53.5</v>
      </c>
      <c r="P25" s="156">
        <f t="shared" si="10"/>
        <v>222.91666666666669</v>
      </c>
      <c r="Q25" s="152">
        <v>32</v>
      </c>
      <c r="R25" s="156">
        <f t="shared" si="3"/>
        <v>160</v>
      </c>
      <c r="S25" s="156">
        <v>0</v>
      </c>
      <c r="T25" s="156">
        <f t="shared" si="4"/>
        <v>0</v>
      </c>
      <c r="U25" s="152">
        <f t="shared" si="5"/>
        <v>29</v>
      </c>
      <c r="V25" s="156">
        <f>G25/I25*U25</f>
        <v>193.33333333333334</v>
      </c>
      <c r="W25" s="156">
        <v>100</v>
      </c>
      <c r="X25" s="152">
        <v>0</v>
      </c>
      <c r="Y25" s="156">
        <f t="shared" si="7"/>
        <v>193.33333333333334</v>
      </c>
      <c r="Z25" s="154">
        <v>50</v>
      </c>
      <c r="AA25" s="154"/>
      <c r="AB25" s="157">
        <f t="shared" si="8"/>
        <v>1792.9166666666665</v>
      </c>
      <c r="AC25" s="164"/>
      <c r="AD25" s="164"/>
      <c r="AE25" s="156">
        <v>773</v>
      </c>
      <c r="AF25" s="160">
        <f t="shared" si="11"/>
        <v>1019.9166666666665</v>
      </c>
    </row>
    <row r="26" spans="1:32" s="22" customFormat="1" ht="24.95" customHeight="1" x14ac:dyDescent="0.25">
      <c r="A26" s="152">
        <f t="shared" si="12"/>
        <v>24</v>
      </c>
      <c r="B26" s="152">
        <v>790</v>
      </c>
      <c r="C26" s="161" t="s">
        <v>89</v>
      </c>
      <c r="D26" s="154"/>
      <c r="E26" s="155">
        <v>700</v>
      </c>
      <c r="F26" s="156">
        <v>200</v>
      </c>
      <c r="G26" s="156">
        <v>200</v>
      </c>
      <c r="H26" s="157">
        <f t="shared" si="9"/>
        <v>1100</v>
      </c>
      <c r="I26" s="152">
        <v>30</v>
      </c>
      <c r="J26" s="158">
        <v>0</v>
      </c>
      <c r="K26" s="152">
        <f t="shared" si="0"/>
        <v>30</v>
      </c>
      <c r="L26" s="156">
        <f t="shared" si="1"/>
        <v>700</v>
      </c>
      <c r="M26" s="152">
        <v>50</v>
      </c>
      <c r="N26" s="156">
        <f t="shared" si="2"/>
        <v>182.29166666666666</v>
      </c>
      <c r="O26" s="152">
        <v>0</v>
      </c>
      <c r="P26" s="156">
        <f t="shared" si="10"/>
        <v>0</v>
      </c>
      <c r="Q26" s="152">
        <v>0</v>
      </c>
      <c r="R26" s="156">
        <f t="shared" si="3"/>
        <v>0</v>
      </c>
      <c r="S26" s="156">
        <v>0</v>
      </c>
      <c r="T26" s="156">
        <f t="shared" si="4"/>
        <v>0</v>
      </c>
      <c r="U26" s="152">
        <f t="shared" si="5"/>
        <v>30</v>
      </c>
      <c r="V26" s="163">
        <v>0</v>
      </c>
      <c r="W26" s="156">
        <v>100</v>
      </c>
      <c r="X26" s="152">
        <v>100</v>
      </c>
      <c r="Y26" s="156">
        <f t="shared" si="7"/>
        <v>200</v>
      </c>
      <c r="Z26" s="154">
        <v>0</v>
      </c>
      <c r="AA26" s="154"/>
      <c r="AB26" s="157">
        <f t="shared" si="8"/>
        <v>1182.2916666666665</v>
      </c>
      <c r="AC26" s="154"/>
      <c r="AD26" s="154"/>
      <c r="AE26" s="156">
        <v>700</v>
      </c>
      <c r="AF26" s="160">
        <f t="shared" si="11"/>
        <v>482.29166666666652</v>
      </c>
    </row>
    <row r="27" spans="1:32" s="22" customFormat="1" ht="24.95" customHeight="1" x14ac:dyDescent="0.25">
      <c r="A27" s="152">
        <f t="shared" si="12"/>
        <v>25</v>
      </c>
      <c r="B27" s="152">
        <v>814</v>
      </c>
      <c r="C27" s="161" t="s">
        <v>91</v>
      </c>
      <c r="D27" s="154"/>
      <c r="E27" s="155">
        <v>700</v>
      </c>
      <c r="F27" s="156">
        <v>200</v>
      </c>
      <c r="G27" s="156">
        <v>200</v>
      </c>
      <c r="H27" s="157">
        <f t="shared" si="9"/>
        <v>1100</v>
      </c>
      <c r="I27" s="152">
        <v>30</v>
      </c>
      <c r="J27" s="158">
        <v>0</v>
      </c>
      <c r="K27" s="152">
        <f t="shared" si="0"/>
        <v>30</v>
      </c>
      <c r="L27" s="156">
        <f t="shared" si="1"/>
        <v>700</v>
      </c>
      <c r="M27" s="152">
        <v>50</v>
      </c>
      <c r="N27" s="156">
        <f t="shared" si="2"/>
        <v>182.29166666666666</v>
      </c>
      <c r="O27" s="152">
        <v>0</v>
      </c>
      <c r="P27" s="156">
        <f t="shared" si="10"/>
        <v>0</v>
      </c>
      <c r="Q27" s="152">
        <v>10</v>
      </c>
      <c r="R27" s="156">
        <f t="shared" si="3"/>
        <v>43.75</v>
      </c>
      <c r="S27" s="156">
        <v>0</v>
      </c>
      <c r="T27" s="156">
        <f t="shared" si="4"/>
        <v>0</v>
      </c>
      <c r="U27" s="152">
        <f t="shared" si="5"/>
        <v>30</v>
      </c>
      <c r="V27" s="163">
        <v>0</v>
      </c>
      <c r="W27" s="156">
        <v>100</v>
      </c>
      <c r="X27" s="152">
        <v>100</v>
      </c>
      <c r="Y27" s="156">
        <f t="shared" si="7"/>
        <v>200</v>
      </c>
      <c r="Z27" s="154">
        <v>0</v>
      </c>
      <c r="AA27" s="154"/>
      <c r="AB27" s="157">
        <f t="shared" si="8"/>
        <v>1226.0416666666665</v>
      </c>
      <c r="AC27" s="154"/>
      <c r="AD27" s="154"/>
      <c r="AE27" s="156">
        <v>700</v>
      </c>
      <c r="AF27" s="160">
        <f t="shared" si="11"/>
        <v>526.04166666666652</v>
      </c>
    </row>
    <row r="28" spans="1:32" s="22" customFormat="1" ht="24.95" customHeight="1" x14ac:dyDescent="0.25">
      <c r="A28" s="152">
        <f t="shared" si="12"/>
        <v>26</v>
      </c>
      <c r="B28" s="152">
        <v>818</v>
      </c>
      <c r="C28" s="161" t="s">
        <v>501</v>
      </c>
      <c r="D28" s="154"/>
      <c r="E28" s="155">
        <v>900</v>
      </c>
      <c r="F28" s="156">
        <v>100</v>
      </c>
      <c r="G28" s="156">
        <v>200</v>
      </c>
      <c r="H28" s="157">
        <f t="shared" si="9"/>
        <v>1200</v>
      </c>
      <c r="I28" s="152">
        <v>30</v>
      </c>
      <c r="J28" s="158">
        <v>0</v>
      </c>
      <c r="K28" s="152">
        <f t="shared" si="0"/>
        <v>30</v>
      </c>
      <c r="L28" s="156">
        <f t="shared" si="1"/>
        <v>900</v>
      </c>
      <c r="M28" s="152">
        <v>50</v>
      </c>
      <c r="N28" s="156">
        <f t="shared" si="2"/>
        <v>234.375</v>
      </c>
      <c r="O28" s="152">
        <v>61.5</v>
      </c>
      <c r="P28" s="156">
        <f t="shared" si="10"/>
        <v>288.28125</v>
      </c>
      <c r="Q28" s="152">
        <v>32</v>
      </c>
      <c r="R28" s="156">
        <f t="shared" si="3"/>
        <v>180</v>
      </c>
      <c r="S28" s="156">
        <v>0</v>
      </c>
      <c r="T28" s="156">
        <f t="shared" si="4"/>
        <v>0</v>
      </c>
      <c r="U28" s="152">
        <f t="shared" si="5"/>
        <v>30</v>
      </c>
      <c r="V28" s="156">
        <f>G28/I28*U28</f>
        <v>200</v>
      </c>
      <c r="W28" s="156">
        <v>100</v>
      </c>
      <c r="X28" s="152">
        <v>100</v>
      </c>
      <c r="Y28" s="156">
        <f t="shared" si="7"/>
        <v>100</v>
      </c>
      <c r="Z28" s="154">
        <v>50</v>
      </c>
      <c r="AA28" s="164"/>
      <c r="AB28" s="157">
        <f t="shared" si="8"/>
        <v>2052.65625</v>
      </c>
      <c r="AC28" s="164"/>
      <c r="AD28" s="164"/>
      <c r="AE28" s="156">
        <v>900</v>
      </c>
      <c r="AF28" s="160">
        <f t="shared" si="11"/>
        <v>1152.65625</v>
      </c>
    </row>
    <row r="29" spans="1:32" s="22" customFormat="1" ht="24.95" customHeight="1" x14ac:dyDescent="0.25">
      <c r="A29" s="152">
        <f t="shared" si="12"/>
        <v>27</v>
      </c>
      <c r="B29" s="152">
        <v>821</v>
      </c>
      <c r="C29" s="161" t="s">
        <v>95</v>
      </c>
      <c r="D29" s="167"/>
      <c r="E29" s="155">
        <v>900</v>
      </c>
      <c r="F29" s="156">
        <v>100</v>
      </c>
      <c r="G29" s="156">
        <v>200</v>
      </c>
      <c r="H29" s="157">
        <f t="shared" si="9"/>
        <v>1200</v>
      </c>
      <c r="I29" s="152">
        <v>30</v>
      </c>
      <c r="J29" s="158">
        <v>0</v>
      </c>
      <c r="K29" s="152">
        <f t="shared" si="0"/>
        <v>30</v>
      </c>
      <c r="L29" s="156">
        <f t="shared" si="1"/>
        <v>900</v>
      </c>
      <c r="M29" s="152">
        <v>50</v>
      </c>
      <c r="N29" s="156">
        <f t="shared" si="2"/>
        <v>234.375</v>
      </c>
      <c r="O29" s="152">
        <v>24</v>
      </c>
      <c r="P29" s="156">
        <f t="shared" si="10"/>
        <v>112.5</v>
      </c>
      <c r="Q29" s="152">
        <v>15</v>
      </c>
      <c r="R29" s="156">
        <f t="shared" si="3"/>
        <v>84.375</v>
      </c>
      <c r="S29" s="156">
        <v>0</v>
      </c>
      <c r="T29" s="156">
        <f t="shared" si="4"/>
        <v>0</v>
      </c>
      <c r="U29" s="152">
        <f t="shared" si="5"/>
        <v>30</v>
      </c>
      <c r="V29" s="156">
        <f>G29/I29*U29</f>
        <v>200</v>
      </c>
      <c r="W29" s="156">
        <v>100</v>
      </c>
      <c r="X29" s="152">
        <f>W29/I29*K29</f>
        <v>100</v>
      </c>
      <c r="Y29" s="156">
        <f t="shared" si="7"/>
        <v>100</v>
      </c>
      <c r="Z29" s="154">
        <v>225</v>
      </c>
      <c r="AA29" s="154"/>
      <c r="AB29" s="157">
        <f t="shared" si="8"/>
        <v>1956.25</v>
      </c>
      <c r="AC29" s="154"/>
      <c r="AD29" s="154"/>
      <c r="AE29" s="156">
        <v>900</v>
      </c>
      <c r="AF29" s="160">
        <f t="shared" si="11"/>
        <v>1056.25</v>
      </c>
    </row>
    <row r="30" spans="1:32" s="22" customFormat="1" ht="24.95" customHeight="1" x14ac:dyDescent="0.25">
      <c r="A30" s="152">
        <f t="shared" si="12"/>
        <v>28</v>
      </c>
      <c r="B30" s="152">
        <v>836</v>
      </c>
      <c r="C30" s="161" t="s">
        <v>97</v>
      </c>
      <c r="D30" s="168"/>
      <c r="E30" s="155">
        <v>800</v>
      </c>
      <c r="F30" s="156">
        <v>100</v>
      </c>
      <c r="G30" s="156">
        <v>200</v>
      </c>
      <c r="H30" s="157">
        <f t="shared" si="9"/>
        <v>1100</v>
      </c>
      <c r="I30" s="152">
        <v>30</v>
      </c>
      <c r="J30" s="158">
        <v>0</v>
      </c>
      <c r="K30" s="152">
        <f t="shared" si="0"/>
        <v>30</v>
      </c>
      <c r="L30" s="156">
        <f t="shared" si="1"/>
        <v>800</v>
      </c>
      <c r="M30" s="152">
        <v>50</v>
      </c>
      <c r="N30" s="156">
        <f t="shared" si="2"/>
        <v>208.33333333333334</v>
      </c>
      <c r="O30" s="152">
        <v>25</v>
      </c>
      <c r="P30" s="156">
        <f t="shared" si="10"/>
        <v>104.16666666666669</v>
      </c>
      <c r="Q30" s="152">
        <v>28</v>
      </c>
      <c r="R30" s="156">
        <f t="shared" si="3"/>
        <v>140</v>
      </c>
      <c r="S30" s="156">
        <v>11</v>
      </c>
      <c r="T30" s="156">
        <f t="shared" si="4"/>
        <v>91.666666666666686</v>
      </c>
      <c r="U30" s="152">
        <f t="shared" si="5"/>
        <v>30</v>
      </c>
      <c r="V30" s="156">
        <f>G30/I30*U30</f>
        <v>200</v>
      </c>
      <c r="W30" s="156">
        <v>100</v>
      </c>
      <c r="X30" s="152">
        <v>100</v>
      </c>
      <c r="Y30" s="156">
        <f t="shared" si="7"/>
        <v>100</v>
      </c>
      <c r="Z30" s="154">
        <v>50</v>
      </c>
      <c r="AA30" s="169">
        <v>200</v>
      </c>
      <c r="AB30" s="157">
        <f t="shared" si="8"/>
        <v>1594.1666666666667</v>
      </c>
      <c r="AC30" s="154"/>
      <c r="AD30" s="154" t="s">
        <v>574</v>
      </c>
      <c r="AE30" s="156">
        <v>800</v>
      </c>
      <c r="AF30" s="160">
        <f t="shared" si="11"/>
        <v>794.16666666666674</v>
      </c>
    </row>
    <row r="31" spans="1:32" s="22" customFormat="1" ht="24.95" customHeight="1" x14ac:dyDescent="0.25">
      <c r="A31" s="152">
        <f t="shared" si="12"/>
        <v>29</v>
      </c>
      <c r="B31" s="152">
        <v>837</v>
      </c>
      <c r="C31" s="161" t="s">
        <v>99</v>
      </c>
      <c r="D31" s="154"/>
      <c r="E31" s="155">
        <v>900</v>
      </c>
      <c r="F31" s="156">
        <v>100</v>
      </c>
      <c r="G31" s="156">
        <v>200</v>
      </c>
      <c r="H31" s="157">
        <f t="shared" si="9"/>
        <v>1200</v>
      </c>
      <c r="I31" s="152">
        <v>30</v>
      </c>
      <c r="J31" s="170">
        <v>4</v>
      </c>
      <c r="K31" s="152">
        <f t="shared" si="0"/>
        <v>26</v>
      </c>
      <c r="L31" s="156">
        <f t="shared" si="1"/>
        <v>780</v>
      </c>
      <c r="M31" s="152">
        <v>40</v>
      </c>
      <c r="N31" s="156">
        <f t="shared" si="2"/>
        <v>187.5</v>
      </c>
      <c r="O31" s="152">
        <v>27.5</v>
      </c>
      <c r="P31" s="156">
        <f t="shared" si="10"/>
        <v>128.90625</v>
      </c>
      <c r="Q31" s="152">
        <v>8</v>
      </c>
      <c r="R31" s="156">
        <f t="shared" si="3"/>
        <v>45</v>
      </c>
      <c r="S31" s="156">
        <v>0</v>
      </c>
      <c r="T31" s="156">
        <f t="shared" si="4"/>
        <v>0</v>
      </c>
      <c r="U31" s="152">
        <f t="shared" si="5"/>
        <v>26</v>
      </c>
      <c r="V31" s="156">
        <f>G31/I31*U31</f>
        <v>173.33333333333334</v>
      </c>
      <c r="W31" s="156">
        <v>100</v>
      </c>
      <c r="X31" s="152">
        <v>0</v>
      </c>
      <c r="Y31" s="156">
        <f t="shared" si="7"/>
        <v>86.666666666666671</v>
      </c>
      <c r="Z31" s="154">
        <v>0</v>
      </c>
      <c r="AA31" s="169">
        <v>50</v>
      </c>
      <c r="AB31" s="157">
        <f t="shared" si="8"/>
        <v>1351.40625</v>
      </c>
      <c r="AC31" s="154"/>
      <c r="AD31" s="171" t="s">
        <v>559</v>
      </c>
      <c r="AE31" s="156">
        <v>780</v>
      </c>
      <c r="AF31" s="160">
        <f t="shared" si="11"/>
        <v>571.40625</v>
      </c>
    </row>
    <row r="32" spans="1:32" s="22" customFormat="1" ht="24.95" customHeight="1" x14ac:dyDescent="0.25">
      <c r="A32" s="152">
        <f t="shared" si="12"/>
        <v>30</v>
      </c>
      <c r="B32" s="152">
        <v>840</v>
      </c>
      <c r="C32" s="161" t="s">
        <v>101</v>
      </c>
      <c r="D32" s="154"/>
      <c r="E32" s="155">
        <v>900</v>
      </c>
      <c r="F32" s="156">
        <v>200</v>
      </c>
      <c r="G32" s="156">
        <v>200</v>
      </c>
      <c r="H32" s="163">
        <f t="shared" si="9"/>
        <v>1300</v>
      </c>
      <c r="I32" s="152">
        <v>30</v>
      </c>
      <c r="J32" s="158">
        <v>0</v>
      </c>
      <c r="K32" s="152">
        <f t="shared" si="0"/>
        <v>30</v>
      </c>
      <c r="L32" s="156">
        <f t="shared" si="1"/>
        <v>900</v>
      </c>
      <c r="M32" s="152">
        <v>50</v>
      </c>
      <c r="N32" s="156">
        <f t="shared" si="2"/>
        <v>234.375</v>
      </c>
      <c r="O32" s="152">
        <v>0</v>
      </c>
      <c r="P32" s="156">
        <f t="shared" si="10"/>
        <v>0</v>
      </c>
      <c r="Q32" s="152">
        <v>0</v>
      </c>
      <c r="R32" s="156">
        <f t="shared" si="3"/>
        <v>0</v>
      </c>
      <c r="S32" s="156">
        <v>0</v>
      </c>
      <c r="T32" s="156">
        <f t="shared" si="4"/>
        <v>0</v>
      </c>
      <c r="U32" s="152">
        <f t="shared" si="5"/>
        <v>30</v>
      </c>
      <c r="V32" s="163">
        <v>0</v>
      </c>
      <c r="W32" s="156">
        <v>100</v>
      </c>
      <c r="X32" s="152">
        <v>100</v>
      </c>
      <c r="Y32" s="156">
        <f t="shared" si="7"/>
        <v>200</v>
      </c>
      <c r="Z32" s="154">
        <v>0</v>
      </c>
      <c r="AA32" s="154"/>
      <c r="AB32" s="157">
        <f t="shared" si="8"/>
        <v>1434.375</v>
      </c>
      <c r="AC32" s="154"/>
      <c r="AD32" s="154"/>
      <c r="AE32" s="156">
        <v>900</v>
      </c>
      <c r="AF32" s="160">
        <f t="shared" si="11"/>
        <v>534.375</v>
      </c>
    </row>
    <row r="33" spans="1:32" s="22" customFormat="1" ht="24.95" customHeight="1" x14ac:dyDescent="0.2">
      <c r="A33" s="152">
        <f t="shared" si="12"/>
        <v>31</v>
      </c>
      <c r="B33" s="152">
        <v>845</v>
      </c>
      <c r="C33" s="161" t="s">
        <v>400</v>
      </c>
      <c r="D33" s="154"/>
      <c r="E33" s="155">
        <v>900</v>
      </c>
      <c r="F33" s="156">
        <v>100</v>
      </c>
      <c r="G33" s="156">
        <v>200</v>
      </c>
      <c r="H33" s="157">
        <f t="shared" si="9"/>
        <v>1200</v>
      </c>
      <c r="I33" s="152">
        <v>30</v>
      </c>
      <c r="J33" s="158">
        <v>0</v>
      </c>
      <c r="K33" s="152">
        <f t="shared" si="0"/>
        <v>30</v>
      </c>
      <c r="L33" s="156">
        <f t="shared" si="1"/>
        <v>900</v>
      </c>
      <c r="M33" s="152">
        <v>50</v>
      </c>
      <c r="N33" s="156">
        <f t="shared" si="2"/>
        <v>234.375</v>
      </c>
      <c r="O33" s="152">
        <v>70.5</v>
      </c>
      <c r="P33" s="156">
        <f t="shared" si="10"/>
        <v>330.46875</v>
      </c>
      <c r="Q33" s="152">
        <v>31</v>
      </c>
      <c r="R33" s="156">
        <f t="shared" si="3"/>
        <v>174.375</v>
      </c>
      <c r="S33" s="156">
        <v>9.5</v>
      </c>
      <c r="T33" s="156">
        <f t="shared" si="4"/>
        <v>89.0625</v>
      </c>
      <c r="U33" s="152">
        <f t="shared" si="5"/>
        <v>30</v>
      </c>
      <c r="V33" s="156">
        <f t="shared" ref="V33:V51" si="14">G33/I33*U33</f>
        <v>200</v>
      </c>
      <c r="W33" s="156">
        <v>100</v>
      </c>
      <c r="X33" s="152">
        <f>W33/I33*K33</f>
        <v>100</v>
      </c>
      <c r="Y33" s="156">
        <f t="shared" si="7"/>
        <v>100</v>
      </c>
      <c r="Z33" s="154">
        <v>50</v>
      </c>
      <c r="AA33" s="154"/>
      <c r="AB33" s="157">
        <f t="shared" si="8"/>
        <v>2178.28125</v>
      </c>
      <c r="AC33" s="172"/>
      <c r="AD33" s="172"/>
      <c r="AE33" s="156">
        <v>900</v>
      </c>
      <c r="AF33" s="160">
        <f t="shared" si="11"/>
        <v>1278.28125</v>
      </c>
    </row>
    <row r="34" spans="1:32" s="22" customFormat="1" ht="24.95" customHeight="1" x14ac:dyDescent="0.25">
      <c r="A34" s="152">
        <f t="shared" si="12"/>
        <v>32</v>
      </c>
      <c r="B34" s="152">
        <v>848</v>
      </c>
      <c r="C34" s="161" t="s">
        <v>102</v>
      </c>
      <c r="D34" s="154"/>
      <c r="E34" s="155">
        <v>700</v>
      </c>
      <c r="F34" s="156">
        <v>200</v>
      </c>
      <c r="G34" s="156">
        <v>200</v>
      </c>
      <c r="H34" s="157">
        <f t="shared" si="9"/>
        <v>1100</v>
      </c>
      <c r="I34" s="152">
        <v>30</v>
      </c>
      <c r="J34" s="158">
        <v>11</v>
      </c>
      <c r="K34" s="152">
        <f t="shared" si="0"/>
        <v>19</v>
      </c>
      <c r="L34" s="156">
        <f t="shared" si="1"/>
        <v>443.33333333333331</v>
      </c>
      <c r="M34" s="152">
        <v>32</v>
      </c>
      <c r="N34" s="156">
        <f t="shared" si="2"/>
        <v>116.66666666666666</v>
      </c>
      <c r="O34" s="152">
        <v>4</v>
      </c>
      <c r="P34" s="156">
        <f t="shared" si="10"/>
        <v>14.583333333333332</v>
      </c>
      <c r="Q34" s="152">
        <v>0</v>
      </c>
      <c r="R34" s="156">
        <f t="shared" si="3"/>
        <v>0</v>
      </c>
      <c r="S34" s="156">
        <v>11</v>
      </c>
      <c r="T34" s="156">
        <f t="shared" si="4"/>
        <v>80.208333333333314</v>
      </c>
      <c r="U34" s="152">
        <f t="shared" si="5"/>
        <v>19</v>
      </c>
      <c r="V34" s="156">
        <f t="shared" si="14"/>
        <v>126.66666666666667</v>
      </c>
      <c r="W34" s="156">
        <v>100</v>
      </c>
      <c r="X34" s="152">
        <v>0</v>
      </c>
      <c r="Y34" s="156">
        <f t="shared" si="7"/>
        <v>126.66666666666667</v>
      </c>
      <c r="Z34" s="154">
        <v>0</v>
      </c>
      <c r="AA34" s="154"/>
      <c r="AB34" s="157">
        <f t="shared" si="8"/>
        <v>908.125</v>
      </c>
      <c r="AC34" s="154"/>
      <c r="AD34" s="154"/>
      <c r="AE34" s="156">
        <v>443</v>
      </c>
      <c r="AF34" s="160">
        <f t="shared" si="11"/>
        <v>465.125</v>
      </c>
    </row>
    <row r="35" spans="1:32" s="22" customFormat="1" ht="24.95" customHeight="1" x14ac:dyDescent="0.25">
      <c r="A35" s="152">
        <f t="shared" si="12"/>
        <v>33</v>
      </c>
      <c r="B35" s="152">
        <v>849</v>
      </c>
      <c r="C35" s="161" t="s">
        <v>104</v>
      </c>
      <c r="D35" s="154"/>
      <c r="E35" s="155">
        <v>900</v>
      </c>
      <c r="F35" s="156">
        <v>100</v>
      </c>
      <c r="G35" s="156">
        <v>200</v>
      </c>
      <c r="H35" s="157">
        <f t="shared" si="9"/>
        <v>1200</v>
      </c>
      <c r="I35" s="152">
        <v>30</v>
      </c>
      <c r="J35" s="158">
        <v>13</v>
      </c>
      <c r="K35" s="152">
        <f t="shared" si="0"/>
        <v>17</v>
      </c>
      <c r="L35" s="156">
        <f t="shared" si="1"/>
        <v>510</v>
      </c>
      <c r="M35" s="152">
        <v>28</v>
      </c>
      <c r="N35" s="156">
        <f t="shared" si="2"/>
        <v>131.25</v>
      </c>
      <c r="O35" s="152">
        <v>0</v>
      </c>
      <c r="P35" s="156">
        <f t="shared" si="10"/>
        <v>0</v>
      </c>
      <c r="Q35" s="152">
        <v>0</v>
      </c>
      <c r="R35" s="156">
        <f t="shared" si="3"/>
        <v>0</v>
      </c>
      <c r="S35" s="156">
        <v>0</v>
      </c>
      <c r="T35" s="156">
        <f t="shared" si="4"/>
        <v>0</v>
      </c>
      <c r="U35" s="152">
        <f t="shared" si="5"/>
        <v>17</v>
      </c>
      <c r="V35" s="156">
        <f t="shared" si="14"/>
        <v>113.33333333333334</v>
      </c>
      <c r="W35" s="156">
        <v>100</v>
      </c>
      <c r="X35" s="152"/>
      <c r="Y35" s="156">
        <f t="shared" si="7"/>
        <v>56.666666666666671</v>
      </c>
      <c r="Z35" s="154">
        <v>0</v>
      </c>
      <c r="AA35" s="154"/>
      <c r="AB35" s="157">
        <f t="shared" si="8"/>
        <v>811.25</v>
      </c>
      <c r="AC35" s="154"/>
      <c r="AD35" s="154"/>
      <c r="AE35" s="156">
        <v>480</v>
      </c>
      <c r="AF35" s="160">
        <f t="shared" si="11"/>
        <v>331.25</v>
      </c>
    </row>
    <row r="36" spans="1:32" s="22" customFormat="1" ht="24.95" customHeight="1" x14ac:dyDescent="0.25">
      <c r="A36" s="152">
        <f t="shared" si="12"/>
        <v>34</v>
      </c>
      <c r="B36" s="152">
        <v>881</v>
      </c>
      <c r="C36" s="161" t="s">
        <v>113</v>
      </c>
      <c r="D36" s="154"/>
      <c r="E36" s="155">
        <v>700</v>
      </c>
      <c r="F36" s="156">
        <v>200</v>
      </c>
      <c r="G36" s="156">
        <v>200</v>
      </c>
      <c r="H36" s="157">
        <f t="shared" si="9"/>
        <v>1100</v>
      </c>
      <c r="I36" s="152">
        <v>30</v>
      </c>
      <c r="J36" s="165">
        <v>0</v>
      </c>
      <c r="K36" s="152">
        <f t="shared" si="0"/>
        <v>30</v>
      </c>
      <c r="L36" s="156">
        <f t="shared" si="1"/>
        <v>700</v>
      </c>
      <c r="M36" s="152">
        <v>46</v>
      </c>
      <c r="N36" s="156">
        <f t="shared" si="2"/>
        <v>167.70833333333331</v>
      </c>
      <c r="O36" s="152">
        <v>11</v>
      </c>
      <c r="P36" s="156">
        <f t="shared" si="10"/>
        <v>40.104166666666657</v>
      </c>
      <c r="Q36" s="152">
        <v>6.5</v>
      </c>
      <c r="R36" s="156">
        <f t="shared" si="3"/>
        <v>28.4375</v>
      </c>
      <c r="S36" s="156">
        <v>11</v>
      </c>
      <c r="T36" s="156">
        <f t="shared" si="4"/>
        <v>80.208333333333314</v>
      </c>
      <c r="U36" s="152">
        <f t="shared" si="5"/>
        <v>30</v>
      </c>
      <c r="V36" s="156">
        <f t="shared" si="14"/>
        <v>200</v>
      </c>
      <c r="W36" s="156">
        <v>100</v>
      </c>
      <c r="X36" s="152">
        <v>100</v>
      </c>
      <c r="Y36" s="156">
        <f t="shared" si="7"/>
        <v>200</v>
      </c>
      <c r="Z36" s="154">
        <v>0</v>
      </c>
      <c r="AA36" s="154"/>
      <c r="AB36" s="157">
        <f t="shared" si="8"/>
        <v>1516.4583333333333</v>
      </c>
      <c r="AC36" s="154"/>
      <c r="AD36" s="154"/>
      <c r="AE36" s="156">
        <v>700</v>
      </c>
      <c r="AF36" s="160">
        <f t="shared" si="11"/>
        <v>816.45833333333326</v>
      </c>
    </row>
    <row r="37" spans="1:32" s="22" customFormat="1" ht="24.95" customHeight="1" x14ac:dyDescent="0.25">
      <c r="A37" s="152">
        <f t="shared" si="12"/>
        <v>35</v>
      </c>
      <c r="B37" s="152">
        <v>963</v>
      </c>
      <c r="C37" s="161" t="s">
        <v>117</v>
      </c>
      <c r="D37" s="154">
        <v>1000</v>
      </c>
      <c r="E37" s="155">
        <v>800</v>
      </c>
      <c r="F37" s="156">
        <v>100</v>
      </c>
      <c r="G37" s="156">
        <v>200</v>
      </c>
      <c r="H37" s="157">
        <f t="shared" si="9"/>
        <v>1100</v>
      </c>
      <c r="I37" s="152">
        <v>30</v>
      </c>
      <c r="J37" s="158">
        <v>0</v>
      </c>
      <c r="K37" s="152">
        <f t="shared" si="0"/>
        <v>30</v>
      </c>
      <c r="L37" s="156">
        <f t="shared" si="1"/>
        <v>800</v>
      </c>
      <c r="M37" s="152">
        <v>50</v>
      </c>
      <c r="N37" s="156">
        <f t="shared" si="2"/>
        <v>208.33333333333334</v>
      </c>
      <c r="O37" s="152">
        <v>28.5</v>
      </c>
      <c r="P37" s="156">
        <f t="shared" si="10"/>
        <v>118.75</v>
      </c>
      <c r="Q37" s="152">
        <v>0</v>
      </c>
      <c r="R37" s="156">
        <f t="shared" si="3"/>
        <v>0</v>
      </c>
      <c r="S37" s="156">
        <v>6.5</v>
      </c>
      <c r="T37" s="156">
        <f t="shared" si="4"/>
        <v>54.166666666666671</v>
      </c>
      <c r="U37" s="152">
        <f t="shared" si="5"/>
        <v>30</v>
      </c>
      <c r="V37" s="156">
        <f t="shared" si="14"/>
        <v>200</v>
      </c>
      <c r="W37" s="156">
        <v>0</v>
      </c>
      <c r="X37" s="152">
        <f>W37/I37*K37</f>
        <v>0</v>
      </c>
      <c r="Y37" s="156">
        <f t="shared" si="7"/>
        <v>100</v>
      </c>
      <c r="Z37" s="154">
        <v>0</v>
      </c>
      <c r="AA37" s="154"/>
      <c r="AB37" s="157">
        <f t="shared" si="8"/>
        <v>1481.2500000000002</v>
      </c>
      <c r="AC37" s="154"/>
      <c r="AD37" s="154"/>
      <c r="AE37" s="156">
        <v>900</v>
      </c>
      <c r="AF37" s="160">
        <f t="shared" si="11"/>
        <v>581.25000000000023</v>
      </c>
    </row>
    <row r="38" spans="1:32" s="22" customFormat="1" ht="24.95" customHeight="1" x14ac:dyDescent="0.25">
      <c r="A38" s="152">
        <f t="shared" si="12"/>
        <v>36</v>
      </c>
      <c r="B38" s="152">
        <v>984</v>
      </c>
      <c r="C38" s="161" t="s">
        <v>124</v>
      </c>
      <c r="D38" s="154"/>
      <c r="E38" s="155">
        <v>700</v>
      </c>
      <c r="F38" s="156">
        <v>100</v>
      </c>
      <c r="G38" s="156">
        <v>200</v>
      </c>
      <c r="H38" s="157">
        <f t="shared" si="9"/>
        <v>1000</v>
      </c>
      <c r="I38" s="152">
        <v>30</v>
      </c>
      <c r="J38" s="158">
        <v>0</v>
      </c>
      <c r="K38" s="152">
        <f t="shared" si="0"/>
        <v>30</v>
      </c>
      <c r="L38" s="156">
        <f t="shared" si="1"/>
        <v>700</v>
      </c>
      <c r="M38" s="152">
        <v>50</v>
      </c>
      <c r="N38" s="156">
        <f t="shared" si="2"/>
        <v>182.29166666666666</v>
      </c>
      <c r="O38" s="152">
        <v>43</v>
      </c>
      <c r="P38" s="156">
        <f t="shared" si="10"/>
        <v>156.77083333333331</v>
      </c>
      <c r="Q38" s="152">
        <v>16</v>
      </c>
      <c r="R38" s="156">
        <f t="shared" si="3"/>
        <v>70</v>
      </c>
      <c r="S38" s="156">
        <v>0</v>
      </c>
      <c r="T38" s="156">
        <f t="shared" si="4"/>
        <v>0</v>
      </c>
      <c r="U38" s="152">
        <f t="shared" si="5"/>
        <v>30</v>
      </c>
      <c r="V38" s="156">
        <f t="shared" si="14"/>
        <v>200</v>
      </c>
      <c r="W38" s="156">
        <v>0</v>
      </c>
      <c r="X38" s="152">
        <f>W38/I38*K38</f>
        <v>0</v>
      </c>
      <c r="Y38" s="156">
        <f t="shared" si="7"/>
        <v>100</v>
      </c>
      <c r="Z38" s="154">
        <v>25</v>
      </c>
      <c r="AA38" s="169">
        <v>28</v>
      </c>
      <c r="AB38" s="157">
        <f t="shared" si="8"/>
        <v>1406.0625</v>
      </c>
      <c r="AC38" s="154"/>
      <c r="AD38" s="154" t="s">
        <v>575</v>
      </c>
      <c r="AE38" s="156">
        <v>700</v>
      </c>
      <c r="AF38" s="160">
        <f t="shared" si="11"/>
        <v>706.0625</v>
      </c>
    </row>
    <row r="39" spans="1:32" s="22" customFormat="1" ht="24.95" customHeight="1" x14ac:dyDescent="0.25">
      <c r="A39" s="152">
        <f t="shared" si="12"/>
        <v>37</v>
      </c>
      <c r="B39" s="152">
        <v>985</v>
      </c>
      <c r="C39" s="161" t="s">
        <v>402</v>
      </c>
      <c r="D39" s="154"/>
      <c r="E39" s="155">
        <v>700</v>
      </c>
      <c r="F39" s="156">
        <v>100</v>
      </c>
      <c r="G39" s="156">
        <v>200</v>
      </c>
      <c r="H39" s="157">
        <f t="shared" si="9"/>
        <v>1000</v>
      </c>
      <c r="I39" s="152">
        <v>30</v>
      </c>
      <c r="J39" s="158">
        <v>1</v>
      </c>
      <c r="K39" s="152">
        <f t="shared" si="0"/>
        <v>29</v>
      </c>
      <c r="L39" s="156">
        <f t="shared" si="1"/>
        <v>676.66666666666663</v>
      </c>
      <c r="M39" s="152">
        <v>42</v>
      </c>
      <c r="N39" s="156">
        <f t="shared" si="2"/>
        <v>153.125</v>
      </c>
      <c r="O39" s="152">
        <v>30</v>
      </c>
      <c r="P39" s="156">
        <f t="shared" si="10"/>
        <v>109.375</v>
      </c>
      <c r="Q39" s="152">
        <v>14</v>
      </c>
      <c r="R39" s="156">
        <f t="shared" si="3"/>
        <v>61.249999999999993</v>
      </c>
      <c r="S39" s="156">
        <v>0</v>
      </c>
      <c r="T39" s="156">
        <f t="shared" si="4"/>
        <v>0</v>
      </c>
      <c r="U39" s="152">
        <f t="shared" si="5"/>
        <v>29</v>
      </c>
      <c r="V39" s="156">
        <f t="shared" si="14"/>
        <v>193.33333333333334</v>
      </c>
      <c r="W39" s="156">
        <v>0</v>
      </c>
      <c r="X39" s="152">
        <f>W39/I39*K39</f>
        <v>0</v>
      </c>
      <c r="Y39" s="156">
        <f t="shared" si="7"/>
        <v>96.666666666666671</v>
      </c>
      <c r="Z39" s="154">
        <v>25</v>
      </c>
      <c r="AA39" s="154">
        <v>20</v>
      </c>
      <c r="AB39" s="157">
        <f t="shared" si="8"/>
        <v>1295.4166666666667</v>
      </c>
      <c r="AC39" s="164"/>
      <c r="AD39" s="159" t="s">
        <v>541</v>
      </c>
      <c r="AE39" s="156">
        <v>700</v>
      </c>
      <c r="AF39" s="160">
        <f t="shared" si="11"/>
        <v>595.41666666666674</v>
      </c>
    </row>
    <row r="40" spans="1:32" s="22" customFormat="1" ht="24.95" customHeight="1" x14ac:dyDescent="0.25">
      <c r="A40" s="152">
        <f t="shared" si="12"/>
        <v>38</v>
      </c>
      <c r="B40" s="152">
        <v>995</v>
      </c>
      <c r="C40" s="153" t="s">
        <v>126</v>
      </c>
      <c r="D40" s="154"/>
      <c r="E40" s="155">
        <v>700</v>
      </c>
      <c r="F40" s="156">
        <v>100</v>
      </c>
      <c r="G40" s="156">
        <v>200</v>
      </c>
      <c r="H40" s="157">
        <f t="shared" si="9"/>
        <v>1000</v>
      </c>
      <c r="I40" s="152">
        <v>30</v>
      </c>
      <c r="J40" s="158">
        <v>1</v>
      </c>
      <c r="K40" s="152">
        <f t="shared" si="0"/>
        <v>29</v>
      </c>
      <c r="L40" s="156">
        <f t="shared" si="1"/>
        <v>676.66666666666663</v>
      </c>
      <c r="M40" s="152">
        <v>44</v>
      </c>
      <c r="N40" s="156">
        <f t="shared" si="2"/>
        <v>160.41666666666666</v>
      </c>
      <c r="O40" s="152">
        <v>0</v>
      </c>
      <c r="P40" s="156">
        <f t="shared" si="10"/>
        <v>0</v>
      </c>
      <c r="Q40" s="152">
        <v>0</v>
      </c>
      <c r="R40" s="156">
        <f t="shared" si="3"/>
        <v>0</v>
      </c>
      <c r="S40" s="156">
        <v>0</v>
      </c>
      <c r="T40" s="156">
        <f t="shared" si="4"/>
        <v>0</v>
      </c>
      <c r="U40" s="152">
        <f t="shared" si="5"/>
        <v>29</v>
      </c>
      <c r="V40" s="156">
        <f t="shared" si="14"/>
        <v>193.33333333333334</v>
      </c>
      <c r="W40" s="156">
        <v>0</v>
      </c>
      <c r="X40" s="152">
        <f>W40/I40*K40</f>
        <v>0</v>
      </c>
      <c r="Y40" s="156">
        <f t="shared" si="7"/>
        <v>96.666666666666671</v>
      </c>
      <c r="Z40" s="154">
        <v>0</v>
      </c>
      <c r="AA40" s="154"/>
      <c r="AB40" s="157">
        <f t="shared" si="8"/>
        <v>1127.0833333333333</v>
      </c>
      <c r="AC40" s="154"/>
      <c r="AD40" s="154"/>
      <c r="AE40" s="156">
        <v>653</v>
      </c>
      <c r="AF40" s="160">
        <f t="shared" si="11"/>
        <v>474.08333333333326</v>
      </c>
    </row>
    <row r="41" spans="1:32" s="22" customFormat="1" ht="24.95" customHeight="1" x14ac:dyDescent="0.25">
      <c r="A41" s="152">
        <f t="shared" si="12"/>
        <v>39</v>
      </c>
      <c r="B41" s="152">
        <v>1005</v>
      </c>
      <c r="C41" s="161" t="s">
        <v>410</v>
      </c>
      <c r="D41" s="154"/>
      <c r="E41" s="155">
        <v>900</v>
      </c>
      <c r="F41" s="156">
        <v>200</v>
      </c>
      <c r="G41" s="156">
        <v>200</v>
      </c>
      <c r="H41" s="157">
        <f t="shared" si="9"/>
        <v>1300</v>
      </c>
      <c r="I41" s="152">
        <v>30</v>
      </c>
      <c r="J41" s="158">
        <v>0</v>
      </c>
      <c r="K41" s="152">
        <f t="shared" si="0"/>
        <v>30</v>
      </c>
      <c r="L41" s="156">
        <f t="shared" si="1"/>
        <v>900</v>
      </c>
      <c r="M41" s="152">
        <v>50</v>
      </c>
      <c r="N41" s="156">
        <f t="shared" si="2"/>
        <v>234.375</v>
      </c>
      <c r="O41" s="152">
        <v>27</v>
      </c>
      <c r="P41" s="156">
        <f t="shared" si="10"/>
        <v>126.5625</v>
      </c>
      <c r="Q41" s="152">
        <v>33</v>
      </c>
      <c r="R41" s="156">
        <f t="shared" si="3"/>
        <v>185.625</v>
      </c>
      <c r="S41" s="156">
        <v>11</v>
      </c>
      <c r="T41" s="156">
        <f t="shared" si="4"/>
        <v>103.125</v>
      </c>
      <c r="U41" s="152">
        <f t="shared" si="5"/>
        <v>30</v>
      </c>
      <c r="V41" s="156">
        <f t="shared" si="14"/>
        <v>200</v>
      </c>
      <c r="W41" s="156">
        <v>100</v>
      </c>
      <c r="X41" s="152">
        <f>W41/I41*K41</f>
        <v>100</v>
      </c>
      <c r="Y41" s="156">
        <f t="shared" si="7"/>
        <v>200</v>
      </c>
      <c r="Z41" s="154">
        <v>50</v>
      </c>
      <c r="AA41" s="154"/>
      <c r="AB41" s="157">
        <f t="shared" si="8"/>
        <v>2099.6875</v>
      </c>
      <c r="AC41" s="164"/>
      <c r="AD41" s="164"/>
      <c r="AE41" s="156">
        <v>900</v>
      </c>
      <c r="AF41" s="160">
        <f t="shared" si="11"/>
        <v>1199.6875</v>
      </c>
    </row>
    <row r="42" spans="1:32" s="22" customFormat="1" ht="24.95" customHeight="1" x14ac:dyDescent="0.25">
      <c r="A42" s="152">
        <f t="shared" si="12"/>
        <v>40</v>
      </c>
      <c r="B42" s="152">
        <v>1009</v>
      </c>
      <c r="C42" s="161" t="s">
        <v>128</v>
      </c>
      <c r="D42" s="154"/>
      <c r="E42" s="155">
        <v>900</v>
      </c>
      <c r="F42" s="156">
        <v>200</v>
      </c>
      <c r="G42" s="156">
        <v>200</v>
      </c>
      <c r="H42" s="157">
        <f t="shared" si="9"/>
        <v>1300</v>
      </c>
      <c r="I42" s="152">
        <v>30</v>
      </c>
      <c r="J42" s="158">
        <v>0</v>
      </c>
      <c r="K42" s="152">
        <f t="shared" si="0"/>
        <v>30</v>
      </c>
      <c r="L42" s="156">
        <f t="shared" si="1"/>
        <v>900</v>
      </c>
      <c r="M42" s="152">
        <v>50</v>
      </c>
      <c r="N42" s="156">
        <f t="shared" si="2"/>
        <v>234.375</v>
      </c>
      <c r="O42" s="152">
        <v>31.5</v>
      </c>
      <c r="P42" s="156">
        <f t="shared" si="10"/>
        <v>147.65625</v>
      </c>
      <c r="Q42" s="152">
        <v>25.5</v>
      </c>
      <c r="R42" s="156">
        <f t="shared" si="3"/>
        <v>143.4375</v>
      </c>
      <c r="S42" s="156">
        <v>7.5</v>
      </c>
      <c r="T42" s="156">
        <f t="shared" si="4"/>
        <v>70.3125</v>
      </c>
      <c r="U42" s="152">
        <f t="shared" si="5"/>
        <v>30</v>
      </c>
      <c r="V42" s="156">
        <f t="shared" si="14"/>
        <v>200</v>
      </c>
      <c r="W42" s="156">
        <v>100</v>
      </c>
      <c r="X42" s="152">
        <v>100</v>
      </c>
      <c r="Y42" s="156">
        <f t="shared" si="7"/>
        <v>200</v>
      </c>
      <c r="Z42" s="154">
        <v>50</v>
      </c>
      <c r="AA42" s="154"/>
      <c r="AB42" s="157">
        <f t="shared" si="8"/>
        <v>2045.78125</v>
      </c>
      <c r="AC42" s="154"/>
      <c r="AD42" s="171"/>
      <c r="AE42" s="156">
        <v>900</v>
      </c>
      <c r="AF42" s="160">
        <f t="shared" si="11"/>
        <v>1145.78125</v>
      </c>
    </row>
    <row r="43" spans="1:32" s="22" customFormat="1" ht="24.95" customHeight="1" x14ac:dyDescent="0.25">
      <c r="A43" s="152">
        <f t="shared" si="12"/>
        <v>41</v>
      </c>
      <c r="B43" s="152">
        <v>1012</v>
      </c>
      <c r="C43" s="153" t="s">
        <v>130</v>
      </c>
      <c r="D43" s="154"/>
      <c r="E43" s="155">
        <v>900</v>
      </c>
      <c r="F43" s="156">
        <v>200</v>
      </c>
      <c r="G43" s="156">
        <v>200</v>
      </c>
      <c r="H43" s="157">
        <f t="shared" si="9"/>
        <v>1300</v>
      </c>
      <c r="I43" s="152">
        <v>30</v>
      </c>
      <c r="J43" s="158">
        <v>0</v>
      </c>
      <c r="K43" s="152">
        <f t="shared" si="0"/>
        <v>30</v>
      </c>
      <c r="L43" s="156">
        <f t="shared" si="1"/>
        <v>900</v>
      </c>
      <c r="M43" s="152">
        <v>44</v>
      </c>
      <c r="N43" s="156">
        <f t="shared" si="2"/>
        <v>206.25</v>
      </c>
      <c r="O43" s="152">
        <v>8</v>
      </c>
      <c r="P43" s="156">
        <f t="shared" si="10"/>
        <v>37.5</v>
      </c>
      <c r="Q43" s="152">
        <v>6.5</v>
      </c>
      <c r="R43" s="156">
        <f t="shared" si="3"/>
        <v>36.5625</v>
      </c>
      <c r="S43" s="156">
        <v>0</v>
      </c>
      <c r="T43" s="156">
        <f t="shared" si="4"/>
        <v>0</v>
      </c>
      <c r="U43" s="152">
        <f t="shared" si="5"/>
        <v>30</v>
      </c>
      <c r="V43" s="156">
        <f t="shared" si="14"/>
        <v>200</v>
      </c>
      <c r="W43" s="156">
        <v>100</v>
      </c>
      <c r="X43" s="152">
        <v>100</v>
      </c>
      <c r="Y43" s="156">
        <f t="shared" si="7"/>
        <v>200</v>
      </c>
      <c r="Z43" s="154">
        <v>0</v>
      </c>
      <c r="AA43" s="154">
        <v>50</v>
      </c>
      <c r="AB43" s="157">
        <f t="shared" si="8"/>
        <v>1630.3125</v>
      </c>
      <c r="AC43" s="154"/>
      <c r="AD43" s="159" t="s">
        <v>541</v>
      </c>
      <c r="AE43" s="156">
        <v>900</v>
      </c>
      <c r="AF43" s="160">
        <f t="shared" si="11"/>
        <v>730.3125</v>
      </c>
    </row>
    <row r="44" spans="1:32" s="22" customFormat="1" ht="24.95" customHeight="1" x14ac:dyDescent="0.25">
      <c r="A44" s="152">
        <f t="shared" si="12"/>
        <v>42</v>
      </c>
      <c r="B44" s="152">
        <v>1015</v>
      </c>
      <c r="C44" s="161" t="s">
        <v>502</v>
      </c>
      <c r="D44" s="154"/>
      <c r="E44" s="155">
        <v>900</v>
      </c>
      <c r="F44" s="156">
        <v>200</v>
      </c>
      <c r="G44" s="156">
        <v>200</v>
      </c>
      <c r="H44" s="157">
        <f t="shared" si="9"/>
        <v>1300</v>
      </c>
      <c r="I44" s="152">
        <v>30</v>
      </c>
      <c r="J44" s="158">
        <v>0</v>
      </c>
      <c r="K44" s="152">
        <f t="shared" si="0"/>
        <v>30</v>
      </c>
      <c r="L44" s="156">
        <f t="shared" si="1"/>
        <v>900</v>
      </c>
      <c r="M44" s="152">
        <v>50</v>
      </c>
      <c r="N44" s="156">
        <f t="shared" si="2"/>
        <v>234.375</v>
      </c>
      <c r="O44" s="152">
        <v>30</v>
      </c>
      <c r="P44" s="156">
        <f t="shared" si="10"/>
        <v>140.625</v>
      </c>
      <c r="Q44" s="152">
        <v>23</v>
      </c>
      <c r="R44" s="156">
        <f t="shared" si="3"/>
        <v>129.375</v>
      </c>
      <c r="S44" s="156">
        <v>6.5</v>
      </c>
      <c r="T44" s="156">
        <f t="shared" si="4"/>
        <v>60.9375</v>
      </c>
      <c r="U44" s="152">
        <f t="shared" si="5"/>
        <v>30</v>
      </c>
      <c r="V44" s="156">
        <f t="shared" si="14"/>
        <v>200</v>
      </c>
      <c r="W44" s="156">
        <v>100</v>
      </c>
      <c r="X44" s="152">
        <v>100</v>
      </c>
      <c r="Y44" s="156">
        <f t="shared" si="7"/>
        <v>200</v>
      </c>
      <c r="Z44" s="154">
        <v>50</v>
      </c>
      <c r="AA44" s="164"/>
      <c r="AB44" s="157">
        <f t="shared" si="8"/>
        <v>2015.3125</v>
      </c>
      <c r="AC44" s="164"/>
      <c r="AD44" s="171"/>
      <c r="AE44" s="156">
        <v>870</v>
      </c>
      <c r="AF44" s="160">
        <f t="shared" si="11"/>
        <v>1145.3125</v>
      </c>
    </row>
    <row r="45" spans="1:32" s="22" customFormat="1" ht="24.95" customHeight="1" x14ac:dyDescent="0.25">
      <c r="A45" s="152">
        <f t="shared" si="12"/>
        <v>43</v>
      </c>
      <c r="B45" s="152">
        <v>1034</v>
      </c>
      <c r="C45" s="161" t="s">
        <v>134</v>
      </c>
      <c r="D45" s="154"/>
      <c r="E45" s="155">
        <v>900</v>
      </c>
      <c r="F45" s="156">
        <v>200</v>
      </c>
      <c r="G45" s="156">
        <v>200</v>
      </c>
      <c r="H45" s="157">
        <f t="shared" si="9"/>
        <v>1300</v>
      </c>
      <c r="I45" s="152">
        <v>30</v>
      </c>
      <c r="J45" s="158">
        <v>0</v>
      </c>
      <c r="K45" s="152">
        <f t="shared" si="0"/>
        <v>30</v>
      </c>
      <c r="L45" s="156">
        <f t="shared" si="1"/>
        <v>900</v>
      </c>
      <c r="M45" s="152">
        <v>50</v>
      </c>
      <c r="N45" s="156">
        <f t="shared" si="2"/>
        <v>234.375</v>
      </c>
      <c r="O45" s="152">
        <v>64</v>
      </c>
      <c r="P45" s="156">
        <f t="shared" si="10"/>
        <v>300</v>
      </c>
      <c r="Q45" s="152">
        <v>32</v>
      </c>
      <c r="R45" s="156">
        <f t="shared" si="3"/>
        <v>180</v>
      </c>
      <c r="S45" s="156">
        <v>0</v>
      </c>
      <c r="T45" s="156">
        <f t="shared" si="4"/>
        <v>0</v>
      </c>
      <c r="U45" s="152">
        <f t="shared" si="5"/>
        <v>30</v>
      </c>
      <c r="V45" s="156">
        <f t="shared" si="14"/>
        <v>200</v>
      </c>
      <c r="W45" s="156">
        <v>100</v>
      </c>
      <c r="X45" s="152">
        <v>100</v>
      </c>
      <c r="Y45" s="156">
        <f t="shared" si="7"/>
        <v>200</v>
      </c>
      <c r="Z45" s="154">
        <v>50</v>
      </c>
      <c r="AA45" s="154"/>
      <c r="AB45" s="157">
        <f t="shared" si="8"/>
        <v>2164.375</v>
      </c>
      <c r="AC45" s="154"/>
      <c r="AD45" s="154"/>
      <c r="AE45" s="156">
        <v>900</v>
      </c>
      <c r="AF45" s="160">
        <f t="shared" si="11"/>
        <v>1264.375</v>
      </c>
    </row>
    <row r="46" spans="1:32" s="22" customFormat="1" ht="24.95" customHeight="1" x14ac:dyDescent="0.25">
      <c r="A46" s="152">
        <f t="shared" si="12"/>
        <v>44</v>
      </c>
      <c r="B46" s="152">
        <v>1035</v>
      </c>
      <c r="C46" s="161" t="s">
        <v>136</v>
      </c>
      <c r="D46" s="154"/>
      <c r="E46" s="155">
        <v>900</v>
      </c>
      <c r="F46" s="156">
        <v>200</v>
      </c>
      <c r="G46" s="156">
        <v>200</v>
      </c>
      <c r="H46" s="157">
        <f t="shared" si="9"/>
        <v>1300</v>
      </c>
      <c r="I46" s="152">
        <v>30</v>
      </c>
      <c r="J46" s="158">
        <v>30</v>
      </c>
      <c r="K46" s="152">
        <f t="shared" si="0"/>
        <v>0</v>
      </c>
      <c r="L46" s="156">
        <f t="shared" si="1"/>
        <v>0</v>
      </c>
      <c r="M46" s="152">
        <v>0</v>
      </c>
      <c r="N46" s="156">
        <f t="shared" si="2"/>
        <v>0</v>
      </c>
      <c r="O46" s="152">
        <v>0</v>
      </c>
      <c r="P46" s="156">
        <f t="shared" si="10"/>
        <v>0</v>
      </c>
      <c r="Q46" s="152">
        <v>0</v>
      </c>
      <c r="R46" s="156">
        <f t="shared" si="3"/>
        <v>0</v>
      </c>
      <c r="S46" s="156">
        <v>0</v>
      </c>
      <c r="T46" s="156">
        <f t="shared" si="4"/>
        <v>0</v>
      </c>
      <c r="U46" s="152">
        <f t="shared" si="5"/>
        <v>0</v>
      </c>
      <c r="V46" s="156">
        <f t="shared" si="14"/>
        <v>0</v>
      </c>
      <c r="W46" s="156">
        <v>100</v>
      </c>
      <c r="X46" s="152">
        <v>0</v>
      </c>
      <c r="Y46" s="156">
        <f t="shared" si="7"/>
        <v>0</v>
      </c>
      <c r="Z46" s="154">
        <v>0</v>
      </c>
      <c r="AA46" s="154"/>
      <c r="AB46" s="157">
        <f t="shared" si="8"/>
        <v>0</v>
      </c>
      <c r="AC46" s="154"/>
      <c r="AD46" s="154"/>
      <c r="AE46" s="156">
        <v>0</v>
      </c>
      <c r="AF46" s="160">
        <f t="shared" si="11"/>
        <v>0</v>
      </c>
    </row>
    <row r="47" spans="1:32" s="22" customFormat="1" ht="24.95" customHeight="1" x14ac:dyDescent="0.25">
      <c r="A47" s="152">
        <f>A46+1</f>
        <v>45</v>
      </c>
      <c r="B47" s="152">
        <v>1045</v>
      </c>
      <c r="C47" s="161" t="s">
        <v>503</v>
      </c>
      <c r="D47" s="154"/>
      <c r="E47" s="155">
        <v>900</v>
      </c>
      <c r="F47" s="156">
        <v>200</v>
      </c>
      <c r="G47" s="156">
        <v>200</v>
      </c>
      <c r="H47" s="157">
        <f t="shared" si="9"/>
        <v>1300</v>
      </c>
      <c r="I47" s="152">
        <v>30</v>
      </c>
      <c r="J47" s="158">
        <v>0</v>
      </c>
      <c r="K47" s="152">
        <f t="shared" si="0"/>
        <v>30</v>
      </c>
      <c r="L47" s="156">
        <f t="shared" si="1"/>
        <v>900</v>
      </c>
      <c r="M47" s="152">
        <v>50</v>
      </c>
      <c r="N47" s="156">
        <f t="shared" si="2"/>
        <v>234.375</v>
      </c>
      <c r="O47" s="152">
        <v>16</v>
      </c>
      <c r="P47" s="156">
        <f t="shared" si="10"/>
        <v>75</v>
      </c>
      <c r="Q47" s="152">
        <v>9</v>
      </c>
      <c r="R47" s="156">
        <f t="shared" si="3"/>
        <v>50.625</v>
      </c>
      <c r="S47" s="156">
        <v>0</v>
      </c>
      <c r="T47" s="156">
        <f t="shared" si="4"/>
        <v>0</v>
      </c>
      <c r="U47" s="152">
        <f t="shared" si="5"/>
        <v>30</v>
      </c>
      <c r="V47" s="156">
        <f t="shared" si="14"/>
        <v>200</v>
      </c>
      <c r="W47" s="156">
        <v>100</v>
      </c>
      <c r="X47" s="152">
        <f>W47/I47*K47</f>
        <v>100</v>
      </c>
      <c r="Y47" s="156">
        <f t="shared" si="7"/>
        <v>200</v>
      </c>
      <c r="Z47" s="154">
        <v>0</v>
      </c>
      <c r="AA47" s="164"/>
      <c r="AB47" s="157">
        <f t="shared" si="8"/>
        <v>1760</v>
      </c>
      <c r="AC47" s="164"/>
      <c r="AD47" s="164"/>
      <c r="AE47" s="156">
        <v>900</v>
      </c>
      <c r="AF47" s="160">
        <f t="shared" si="11"/>
        <v>860</v>
      </c>
    </row>
    <row r="48" spans="1:32" s="22" customFormat="1" ht="24.95" customHeight="1" x14ac:dyDescent="0.25">
      <c r="A48" s="152">
        <f t="shared" si="12"/>
        <v>46</v>
      </c>
      <c r="B48" s="152">
        <v>1055</v>
      </c>
      <c r="C48" s="161" t="s">
        <v>140</v>
      </c>
      <c r="D48" s="154"/>
      <c r="E48" s="155">
        <v>900</v>
      </c>
      <c r="F48" s="156">
        <v>200</v>
      </c>
      <c r="G48" s="156">
        <v>200</v>
      </c>
      <c r="H48" s="157">
        <f t="shared" si="9"/>
        <v>1300</v>
      </c>
      <c r="I48" s="152">
        <v>30</v>
      </c>
      <c r="J48" s="158">
        <v>9</v>
      </c>
      <c r="K48" s="152">
        <f t="shared" si="0"/>
        <v>21</v>
      </c>
      <c r="L48" s="156">
        <f t="shared" si="1"/>
        <v>630</v>
      </c>
      <c r="M48" s="152">
        <v>34</v>
      </c>
      <c r="N48" s="156">
        <f t="shared" si="2"/>
        <v>159.375</v>
      </c>
      <c r="O48" s="152">
        <v>19.5</v>
      </c>
      <c r="P48" s="156">
        <f t="shared" si="10"/>
        <v>91.40625</v>
      </c>
      <c r="Q48" s="152">
        <v>16.5</v>
      </c>
      <c r="R48" s="156">
        <f t="shared" si="3"/>
        <v>92.8125</v>
      </c>
      <c r="S48" s="156">
        <v>6.5</v>
      </c>
      <c r="T48" s="156">
        <f t="shared" si="4"/>
        <v>60.9375</v>
      </c>
      <c r="U48" s="152">
        <f t="shared" si="5"/>
        <v>21</v>
      </c>
      <c r="V48" s="156">
        <f t="shared" si="14"/>
        <v>140</v>
      </c>
      <c r="W48" s="156">
        <v>100</v>
      </c>
      <c r="X48" s="152">
        <v>0</v>
      </c>
      <c r="Y48" s="156">
        <f t="shared" si="7"/>
        <v>140</v>
      </c>
      <c r="Z48" s="154">
        <v>25</v>
      </c>
      <c r="AA48" s="169">
        <v>196</v>
      </c>
      <c r="AB48" s="157">
        <f t="shared" si="8"/>
        <v>1143.53125</v>
      </c>
      <c r="AC48" s="154"/>
      <c r="AD48" s="154" t="s">
        <v>574</v>
      </c>
      <c r="AE48" s="156">
        <v>630</v>
      </c>
      <c r="AF48" s="160">
        <f t="shared" si="11"/>
        <v>513.53125</v>
      </c>
    </row>
    <row r="49" spans="1:32" s="22" customFormat="1" ht="24.95" customHeight="1" x14ac:dyDescent="0.25">
      <c r="A49" s="152">
        <f t="shared" si="12"/>
        <v>47</v>
      </c>
      <c r="B49" s="152">
        <v>2174</v>
      </c>
      <c r="C49" s="161" t="s">
        <v>494</v>
      </c>
      <c r="D49" s="154"/>
      <c r="E49" s="155">
        <v>700</v>
      </c>
      <c r="F49" s="156">
        <v>300</v>
      </c>
      <c r="G49" s="156">
        <v>200</v>
      </c>
      <c r="H49" s="157">
        <f t="shared" si="9"/>
        <v>1200</v>
      </c>
      <c r="I49" s="152">
        <v>30</v>
      </c>
      <c r="J49" s="158">
        <v>26</v>
      </c>
      <c r="K49" s="152">
        <f t="shared" si="0"/>
        <v>4</v>
      </c>
      <c r="L49" s="156">
        <f t="shared" si="1"/>
        <v>93.333333333333329</v>
      </c>
      <c r="M49" s="152">
        <v>8</v>
      </c>
      <c r="N49" s="156">
        <f t="shared" si="2"/>
        <v>29.166666666666664</v>
      </c>
      <c r="O49" s="152">
        <v>4</v>
      </c>
      <c r="P49" s="156">
        <f t="shared" si="10"/>
        <v>14.583333333333332</v>
      </c>
      <c r="Q49" s="152">
        <v>0</v>
      </c>
      <c r="R49" s="156">
        <f t="shared" si="3"/>
        <v>0</v>
      </c>
      <c r="S49" s="156">
        <v>0</v>
      </c>
      <c r="T49" s="156">
        <f t="shared" si="4"/>
        <v>0</v>
      </c>
      <c r="U49" s="152">
        <f t="shared" si="5"/>
        <v>4</v>
      </c>
      <c r="V49" s="156">
        <f t="shared" si="14"/>
        <v>26.666666666666668</v>
      </c>
      <c r="W49" s="156">
        <v>100</v>
      </c>
      <c r="X49" s="152">
        <v>0</v>
      </c>
      <c r="Y49" s="156">
        <f t="shared" si="7"/>
        <v>40</v>
      </c>
      <c r="Z49" s="154">
        <v>0</v>
      </c>
      <c r="AA49" s="154"/>
      <c r="AB49" s="157">
        <f t="shared" si="8"/>
        <v>203.75</v>
      </c>
      <c r="AC49" s="164"/>
      <c r="AD49" s="164"/>
      <c r="AE49" s="156">
        <v>93</v>
      </c>
      <c r="AF49" s="160">
        <f t="shared" si="11"/>
        <v>110.75</v>
      </c>
    </row>
    <row r="50" spans="1:32" s="22" customFormat="1" ht="24.95" customHeight="1" x14ac:dyDescent="0.25">
      <c r="A50" s="152">
        <f t="shared" si="12"/>
        <v>48</v>
      </c>
      <c r="B50" s="152" t="s">
        <v>147</v>
      </c>
      <c r="C50" s="161" t="s">
        <v>148</v>
      </c>
      <c r="D50" s="154"/>
      <c r="E50" s="155">
        <v>800</v>
      </c>
      <c r="F50" s="156">
        <v>100</v>
      </c>
      <c r="G50" s="156">
        <v>200</v>
      </c>
      <c r="H50" s="157">
        <f t="shared" si="9"/>
        <v>1100</v>
      </c>
      <c r="I50" s="152">
        <v>30</v>
      </c>
      <c r="J50" s="158">
        <v>15</v>
      </c>
      <c r="K50" s="152">
        <f t="shared" si="0"/>
        <v>15</v>
      </c>
      <c r="L50" s="156">
        <f t="shared" si="1"/>
        <v>400</v>
      </c>
      <c r="M50" s="152">
        <v>22</v>
      </c>
      <c r="N50" s="156">
        <f t="shared" si="2"/>
        <v>91.666666666666671</v>
      </c>
      <c r="O50" s="152">
        <v>11</v>
      </c>
      <c r="P50" s="156">
        <f t="shared" si="10"/>
        <v>45.833333333333343</v>
      </c>
      <c r="Q50" s="152">
        <v>0</v>
      </c>
      <c r="R50" s="156">
        <f t="shared" si="3"/>
        <v>0</v>
      </c>
      <c r="S50" s="156">
        <v>0</v>
      </c>
      <c r="T50" s="156">
        <f t="shared" si="4"/>
        <v>0</v>
      </c>
      <c r="U50" s="152">
        <f t="shared" si="5"/>
        <v>15</v>
      </c>
      <c r="V50" s="156">
        <f t="shared" si="14"/>
        <v>100</v>
      </c>
      <c r="W50" s="156">
        <v>100</v>
      </c>
      <c r="X50" s="152">
        <v>0</v>
      </c>
      <c r="Y50" s="156">
        <f t="shared" si="7"/>
        <v>50</v>
      </c>
      <c r="Z50" s="154">
        <v>0</v>
      </c>
      <c r="AA50" s="164"/>
      <c r="AB50" s="157">
        <f t="shared" si="8"/>
        <v>687.5</v>
      </c>
      <c r="AC50" s="164"/>
      <c r="AD50" s="164"/>
      <c r="AE50" s="156">
        <v>400</v>
      </c>
      <c r="AF50" s="160">
        <f t="shared" si="11"/>
        <v>287.5</v>
      </c>
    </row>
    <row r="51" spans="1:32" s="22" customFormat="1" ht="24.95" customHeight="1" x14ac:dyDescent="0.25">
      <c r="A51" s="152">
        <f t="shared" si="12"/>
        <v>49</v>
      </c>
      <c r="B51" s="152" t="s">
        <v>398</v>
      </c>
      <c r="C51" s="161" t="s">
        <v>399</v>
      </c>
      <c r="D51" s="154"/>
      <c r="E51" s="155">
        <v>800</v>
      </c>
      <c r="F51" s="156">
        <v>100</v>
      </c>
      <c r="G51" s="156">
        <v>200</v>
      </c>
      <c r="H51" s="157">
        <f t="shared" si="9"/>
        <v>1100</v>
      </c>
      <c r="I51" s="152">
        <v>30</v>
      </c>
      <c r="J51" s="158">
        <v>0</v>
      </c>
      <c r="K51" s="152">
        <f t="shared" si="0"/>
        <v>30</v>
      </c>
      <c r="L51" s="156">
        <f t="shared" si="1"/>
        <v>800</v>
      </c>
      <c r="M51" s="152">
        <v>50</v>
      </c>
      <c r="N51" s="156">
        <f t="shared" si="2"/>
        <v>208.33333333333334</v>
      </c>
      <c r="O51" s="152">
        <v>25</v>
      </c>
      <c r="P51" s="156">
        <f t="shared" si="10"/>
        <v>104.16666666666669</v>
      </c>
      <c r="Q51" s="152">
        <v>8</v>
      </c>
      <c r="R51" s="156">
        <f t="shared" si="3"/>
        <v>40</v>
      </c>
      <c r="S51" s="156">
        <v>11</v>
      </c>
      <c r="T51" s="156">
        <f t="shared" si="4"/>
        <v>91.666666666666686</v>
      </c>
      <c r="U51" s="152">
        <f t="shared" si="5"/>
        <v>30</v>
      </c>
      <c r="V51" s="156">
        <f t="shared" si="14"/>
        <v>200</v>
      </c>
      <c r="W51" s="156">
        <v>100</v>
      </c>
      <c r="X51" s="152">
        <f>W51/I51*K51</f>
        <v>100</v>
      </c>
      <c r="Y51" s="156">
        <f t="shared" si="7"/>
        <v>100</v>
      </c>
      <c r="Z51" s="154">
        <v>0</v>
      </c>
      <c r="AA51" s="154"/>
      <c r="AB51" s="157">
        <f t="shared" si="8"/>
        <v>1644.1666666666667</v>
      </c>
      <c r="AC51" s="154"/>
      <c r="AD51" s="154"/>
      <c r="AE51" s="156">
        <v>800</v>
      </c>
      <c r="AF51" s="160">
        <f t="shared" si="11"/>
        <v>844.16666666666674</v>
      </c>
    </row>
    <row r="52" spans="1:32" s="22" customFormat="1" ht="24.95" customHeight="1" x14ac:dyDescent="0.25">
      <c r="A52" s="152">
        <f t="shared" si="12"/>
        <v>50</v>
      </c>
      <c r="B52" s="152" t="s">
        <v>151</v>
      </c>
      <c r="C52" s="153" t="s">
        <v>152</v>
      </c>
      <c r="D52" s="154"/>
      <c r="E52" s="155">
        <v>800</v>
      </c>
      <c r="F52" s="156">
        <v>100</v>
      </c>
      <c r="G52" s="156">
        <v>200</v>
      </c>
      <c r="H52" s="157">
        <f t="shared" si="9"/>
        <v>1100</v>
      </c>
      <c r="I52" s="152">
        <v>30</v>
      </c>
      <c r="J52" s="165">
        <v>3</v>
      </c>
      <c r="K52" s="152">
        <f t="shared" si="0"/>
        <v>27</v>
      </c>
      <c r="L52" s="156">
        <f t="shared" si="1"/>
        <v>720</v>
      </c>
      <c r="M52" s="152">
        <v>40</v>
      </c>
      <c r="N52" s="156">
        <f t="shared" si="2"/>
        <v>166.66666666666669</v>
      </c>
      <c r="O52" s="152">
        <v>0</v>
      </c>
      <c r="P52" s="156">
        <f t="shared" si="10"/>
        <v>0</v>
      </c>
      <c r="Q52" s="152">
        <v>0</v>
      </c>
      <c r="R52" s="156">
        <f t="shared" si="3"/>
        <v>0</v>
      </c>
      <c r="S52" s="156">
        <v>0</v>
      </c>
      <c r="T52" s="156">
        <f t="shared" si="4"/>
        <v>0</v>
      </c>
      <c r="U52" s="152">
        <f t="shared" si="5"/>
        <v>27</v>
      </c>
      <c r="V52" s="163">
        <v>0</v>
      </c>
      <c r="W52" s="156">
        <v>100</v>
      </c>
      <c r="X52" s="152">
        <v>0</v>
      </c>
      <c r="Y52" s="156">
        <f t="shared" si="7"/>
        <v>90</v>
      </c>
      <c r="Z52" s="154">
        <v>0</v>
      </c>
      <c r="AA52" s="154"/>
      <c r="AB52" s="157">
        <f t="shared" si="8"/>
        <v>976.66666666666674</v>
      </c>
      <c r="AC52" s="154"/>
      <c r="AD52" s="154"/>
      <c r="AE52" s="156">
        <v>800</v>
      </c>
      <c r="AF52" s="160">
        <f t="shared" si="11"/>
        <v>176.66666666666674</v>
      </c>
    </row>
    <row r="53" spans="1:32" s="22" customFormat="1" ht="24.95" customHeight="1" x14ac:dyDescent="0.25">
      <c r="A53" s="152">
        <f t="shared" si="12"/>
        <v>51</v>
      </c>
      <c r="B53" s="152" t="s">
        <v>153</v>
      </c>
      <c r="C53" s="161" t="s">
        <v>154</v>
      </c>
      <c r="D53" s="154"/>
      <c r="E53" s="155">
        <v>800</v>
      </c>
      <c r="F53" s="156">
        <v>100</v>
      </c>
      <c r="G53" s="156">
        <v>200</v>
      </c>
      <c r="H53" s="157">
        <f t="shared" si="9"/>
        <v>1100</v>
      </c>
      <c r="I53" s="152">
        <v>30</v>
      </c>
      <c r="J53" s="158">
        <v>24</v>
      </c>
      <c r="K53" s="152">
        <f t="shared" si="0"/>
        <v>6</v>
      </c>
      <c r="L53" s="156">
        <f t="shared" si="1"/>
        <v>160</v>
      </c>
      <c r="M53" s="152">
        <v>8</v>
      </c>
      <c r="N53" s="156">
        <f t="shared" si="2"/>
        <v>33.333333333333336</v>
      </c>
      <c r="O53" s="152">
        <v>3</v>
      </c>
      <c r="P53" s="156">
        <f t="shared" si="10"/>
        <v>12.5</v>
      </c>
      <c r="Q53" s="152">
        <v>0</v>
      </c>
      <c r="R53" s="156">
        <f t="shared" si="3"/>
        <v>0</v>
      </c>
      <c r="S53" s="156">
        <v>0</v>
      </c>
      <c r="T53" s="156">
        <f t="shared" si="4"/>
        <v>0</v>
      </c>
      <c r="U53" s="152">
        <f t="shared" si="5"/>
        <v>6</v>
      </c>
      <c r="V53" s="156">
        <f>G53/I53*U53</f>
        <v>40</v>
      </c>
      <c r="W53" s="156">
        <v>100</v>
      </c>
      <c r="X53" s="152">
        <v>0</v>
      </c>
      <c r="Y53" s="156">
        <f t="shared" si="7"/>
        <v>20</v>
      </c>
      <c r="Z53" s="154">
        <v>0</v>
      </c>
      <c r="AA53" s="154"/>
      <c r="AB53" s="157">
        <f t="shared" si="8"/>
        <v>265.83333333333337</v>
      </c>
      <c r="AC53" s="154"/>
      <c r="AD53" s="154"/>
      <c r="AE53" s="156">
        <v>133</v>
      </c>
      <c r="AF53" s="160">
        <f t="shared" si="11"/>
        <v>132.83333333333337</v>
      </c>
    </row>
    <row r="54" spans="1:32" s="22" customFormat="1" ht="24.95" customHeight="1" x14ac:dyDescent="0.25">
      <c r="A54" s="152">
        <f t="shared" si="12"/>
        <v>52</v>
      </c>
      <c r="B54" s="152" t="s">
        <v>158</v>
      </c>
      <c r="C54" s="153" t="s">
        <v>159</v>
      </c>
      <c r="D54" s="154"/>
      <c r="E54" s="155">
        <v>800</v>
      </c>
      <c r="F54" s="156">
        <v>100</v>
      </c>
      <c r="G54" s="156">
        <v>200</v>
      </c>
      <c r="H54" s="157">
        <f t="shared" si="9"/>
        <v>1100</v>
      </c>
      <c r="I54" s="152">
        <v>30</v>
      </c>
      <c r="J54" s="158">
        <v>0</v>
      </c>
      <c r="K54" s="152">
        <f t="shared" si="0"/>
        <v>30</v>
      </c>
      <c r="L54" s="156">
        <f t="shared" si="1"/>
        <v>800</v>
      </c>
      <c r="M54" s="152">
        <v>50</v>
      </c>
      <c r="N54" s="156">
        <f t="shared" si="2"/>
        <v>208.33333333333334</v>
      </c>
      <c r="O54" s="152">
        <v>24</v>
      </c>
      <c r="P54" s="156">
        <f t="shared" si="10"/>
        <v>100</v>
      </c>
      <c r="Q54" s="152">
        <v>32</v>
      </c>
      <c r="R54" s="156">
        <f t="shared" si="3"/>
        <v>160</v>
      </c>
      <c r="S54" s="156">
        <v>11</v>
      </c>
      <c r="T54" s="156">
        <f t="shared" si="4"/>
        <v>91.666666666666686</v>
      </c>
      <c r="U54" s="152">
        <f t="shared" si="5"/>
        <v>30</v>
      </c>
      <c r="V54" s="156">
        <f>G54/I54*U54</f>
        <v>200</v>
      </c>
      <c r="W54" s="156">
        <v>100</v>
      </c>
      <c r="X54" s="152">
        <v>100</v>
      </c>
      <c r="Y54" s="156">
        <f t="shared" si="7"/>
        <v>100</v>
      </c>
      <c r="Z54" s="154">
        <v>50</v>
      </c>
      <c r="AA54" s="154"/>
      <c r="AB54" s="157">
        <f t="shared" si="8"/>
        <v>1810.0000000000002</v>
      </c>
      <c r="AC54" s="154"/>
      <c r="AD54" s="159"/>
      <c r="AE54" s="156">
        <v>800</v>
      </c>
      <c r="AF54" s="160">
        <f t="shared" si="11"/>
        <v>1010.0000000000002</v>
      </c>
    </row>
    <row r="55" spans="1:32" s="22" customFormat="1" ht="24.95" customHeight="1" x14ac:dyDescent="0.25">
      <c r="A55" s="152">
        <f t="shared" si="12"/>
        <v>53</v>
      </c>
      <c r="B55" s="152" t="s">
        <v>162</v>
      </c>
      <c r="C55" s="153" t="s">
        <v>163</v>
      </c>
      <c r="D55" s="154"/>
      <c r="E55" s="155">
        <v>800</v>
      </c>
      <c r="F55" s="156">
        <v>100</v>
      </c>
      <c r="G55" s="156">
        <v>200</v>
      </c>
      <c r="H55" s="157">
        <f t="shared" si="9"/>
        <v>1100</v>
      </c>
      <c r="I55" s="152">
        <v>30</v>
      </c>
      <c r="J55" s="158">
        <v>0</v>
      </c>
      <c r="K55" s="152">
        <f t="shared" si="0"/>
        <v>30</v>
      </c>
      <c r="L55" s="156">
        <f t="shared" si="1"/>
        <v>800</v>
      </c>
      <c r="M55" s="152">
        <v>50</v>
      </c>
      <c r="N55" s="156">
        <f t="shared" si="2"/>
        <v>208.33333333333334</v>
      </c>
      <c r="O55" s="152">
        <v>0</v>
      </c>
      <c r="P55" s="156">
        <f t="shared" si="10"/>
        <v>0</v>
      </c>
      <c r="Q55" s="152">
        <v>0</v>
      </c>
      <c r="R55" s="156">
        <f t="shared" si="3"/>
        <v>0</v>
      </c>
      <c r="S55" s="156">
        <v>0</v>
      </c>
      <c r="T55" s="156">
        <f t="shared" si="4"/>
        <v>0</v>
      </c>
      <c r="U55" s="152">
        <f t="shared" si="5"/>
        <v>30</v>
      </c>
      <c r="V55" s="163">
        <v>0</v>
      </c>
      <c r="W55" s="156">
        <v>100</v>
      </c>
      <c r="X55" s="152">
        <v>100</v>
      </c>
      <c r="Y55" s="156">
        <f t="shared" si="7"/>
        <v>100</v>
      </c>
      <c r="Z55" s="154">
        <v>0</v>
      </c>
      <c r="AA55" s="152"/>
      <c r="AB55" s="157">
        <f t="shared" si="8"/>
        <v>1208.3333333333335</v>
      </c>
      <c r="AC55" s="154"/>
      <c r="AD55" s="154"/>
      <c r="AE55" s="156">
        <v>800</v>
      </c>
      <c r="AF55" s="160">
        <f t="shared" si="11"/>
        <v>408.33333333333348</v>
      </c>
    </row>
    <row r="56" spans="1:32" s="22" customFormat="1" ht="24.95" customHeight="1" x14ac:dyDescent="0.25">
      <c r="A56" s="152">
        <f t="shared" si="12"/>
        <v>54</v>
      </c>
      <c r="B56" s="152" t="s">
        <v>167</v>
      </c>
      <c r="C56" s="161" t="s">
        <v>168</v>
      </c>
      <c r="D56" s="154"/>
      <c r="E56" s="155">
        <v>800</v>
      </c>
      <c r="F56" s="156">
        <v>100</v>
      </c>
      <c r="G56" s="156">
        <v>200</v>
      </c>
      <c r="H56" s="157">
        <f t="shared" si="9"/>
        <v>1100</v>
      </c>
      <c r="I56" s="152">
        <v>30</v>
      </c>
      <c r="J56" s="158">
        <v>0</v>
      </c>
      <c r="K56" s="152">
        <f t="shared" si="0"/>
        <v>30</v>
      </c>
      <c r="L56" s="156">
        <f t="shared" si="1"/>
        <v>800</v>
      </c>
      <c r="M56" s="152">
        <v>50</v>
      </c>
      <c r="N56" s="156">
        <f t="shared" si="2"/>
        <v>208.33333333333334</v>
      </c>
      <c r="O56" s="152">
        <v>13</v>
      </c>
      <c r="P56" s="156">
        <f t="shared" si="10"/>
        <v>54.166666666666671</v>
      </c>
      <c r="Q56" s="152">
        <v>6.5</v>
      </c>
      <c r="R56" s="156">
        <f t="shared" si="3"/>
        <v>32.5</v>
      </c>
      <c r="S56" s="156">
        <v>11</v>
      </c>
      <c r="T56" s="156">
        <f t="shared" si="4"/>
        <v>91.666666666666686</v>
      </c>
      <c r="U56" s="152">
        <f t="shared" si="5"/>
        <v>30</v>
      </c>
      <c r="V56" s="156">
        <f>G56/I56*U56</f>
        <v>200</v>
      </c>
      <c r="W56" s="156">
        <v>100</v>
      </c>
      <c r="X56" s="152">
        <f t="shared" ref="X56:X119" si="15">W56/I56*K56</f>
        <v>100</v>
      </c>
      <c r="Y56" s="156">
        <f t="shared" si="7"/>
        <v>100</v>
      </c>
      <c r="Z56" s="154">
        <v>0</v>
      </c>
      <c r="AA56" s="154"/>
      <c r="AB56" s="157">
        <f t="shared" si="8"/>
        <v>1586.6666666666667</v>
      </c>
      <c r="AC56" s="154"/>
      <c r="AD56" s="154"/>
      <c r="AE56" s="156">
        <v>800</v>
      </c>
      <c r="AF56" s="160">
        <f t="shared" si="11"/>
        <v>786.66666666666674</v>
      </c>
    </row>
    <row r="57" spans="1:32" s="22" customFormat="1" ht="24.95" customHeight="1" x14ac:dyDescent="0.25">
      <c r="A57" s="152">
        <f t="shared" si="12"/>
        <v>55</v>
      </c>
      <c r="B57" s="152" t="s">
        <v>169</v>
      </c>
      <c r="C57" s="161" t="s">
        <v>170</v>
      </c>
      <c r="D57" s="173"/>
      <c r="E57" s="155">
        <v>700</v>
      </c>
      <c r="F57" s="156">
        <v>200</v>
      </c>
      <c r="G57" s="156">
        <v>200</v>
      </c>
      <c r="H57" s="157">
        <f t="shared" si="9"/>
        <v>1100</v>
      </c>
      <c r="I57" s="152">
        <v>30</v>
      </c>
      <c r="J57" s="158">
        <v>0</v>
      </c>
      <c r="K57" s="152">
        <f t="shared" si="0"/>
        <v>30</v>
      </c>
      <c r="L57" s="156">
        <f t="shared" si="1"/>
        <v>700</v>
      </c>
      <c r="M57" s="152">
        <v>50</v>
      </c>
      <c r="N57" s="156">
        <f t="shared" si="2"/>
        <v>182.29166666666666</v>
      </c>
      <c r="O57" s="152">
        <v>49</v>
      </c>
      <c r="P57" s="156">
        <f t="shared" si="10"/>
        <v>178.64583333333331</v>
      </c>
      <c r="Q57" s="152">
        <v>30.5</v>
      </c>
      <c r="R57" s="156">
        <f t="shared" si="3"/>
        <v>133.4375</v>
      </c>
      <c r="S57" s="156">
        <v>10.5</v>
      </c>
      <c r="T57" s="156">
        <f t="shared" si="4"/>
        <v>76.5625</v>
      </c>
      <c r="U57" s="152">
        <f t="shared" si="5"/>
        <v>30</v>
      </c>
      <c r="V57" s="156">
        <v>65</v>
      </c>
      <c r="W57" s="156">
        <v>0</v>
      </c>
      <c r="X57" s="152">
        <f t="shared" si="15"/>
        <v>0</v>
      </c>
      <c r="Y57" s="156">
        <f t="shared" si="7"/>
        <v>200</v>
      </c>
      <c r="Z57" s="154">
        <v>50</v>
      </c>
      <c r="AA57" s="154"/>
      <c r="AB57" s="157">
        <f t="shared" si="8"/>
        <v>1585.9375</v>
      </c>
      <c r="AC57" s="154"/>
      <c r="AD57" s="154"/>
      <c r="AE57" s="156">
        <v>700</v>
      </c>
      <c r="AF57" s="160">
        <f t="shared" si="11"/>
        <v>885.9375</v>
      </c>
    </row>
    <row r="58" spans="1:32" s="22" customFormat="1" ht="24.95" customHeight="1" x14ac:dyDescent="0.25">
      <c r="A58" s="152">
        <f t="shared" si="12"/>
        <v>56</v>
      </c>
      <c r="B58" s="152" t="s">
        <v>552</v>
      </c>
      <c r="C58" s="161" t="s">
        <v>408</v>
      </c>
      <c r="D58" s="154"/>
      <c r="E58" s="155">
        <v>700</v>
      </c>
      <c r="F58" s="156">
        <v>200</v>
      </c>
      <c r="G58" s="156">
        <v>200</v>
      </c>
      <c r="H58" s="157">
        <f t="shared" si="9"/>
        <v>1100</v>
      </c>
      <c r="I58" s="152">
        <v>30</v>
      </c>
      <c r="J58" s="158">
        <v>0</v>
      </c>
      <c r="K58" s="152">
        <f t="shared" si="0"/>
        <v>30</v>
      </c>
      <c r="L58" s="156">
        <f t="shared" si="1"/>
        <v>700</v>
      </c>
      <c r="M58" s="152">
        <v>50</v>
      </c>
      <c r="N58" s="156">
        <f t="shared" si="2"/>
        <v>182.29166666666666</v>
      </c>
      <c r="O58" s="152">
        <v>39</v>
      </c>
      <c r="P58" s="156">
        <f t="shared" si="10"/>
        <v>142.1875</v>
      </c>
      <c r="Q58" s="152">
        <v>25</v>
      </c>
      <c r="R58" s="156">
        <f t="shared" si="3"/>
        <v>109.37499999999999</v>
      </c>
      <c r="S58" s="156">
        <v>0</v>
      </c>
      <c r="T58" s="156">
        <f t="shared" si="4"/>
        <v>0</v>
      </c>
      <c r="U58" s="152">
        <f t="shared" si="5"/>
        <v>30</v>
      </c>
      <c r="V58" s="156">
        <f>G58/I58*U58</f>
        <v>200</v>
      </c>
      <c r="W58" s="156">
        <v>0</v>
      </c>
      <c r="X58" s="152">
        <f t="shared" si="15"/>
        <v>0</v>
      </c>
      <c r="Y58" s="156">
        <f t="shared" si="7"/>
        <v>200</v>
      </c>
      <c r="Z58" s="154">
        <v>50</v>
      </c>
      <c r="AA58" s="154"/>
      <c r="AB58" s="157">
        <f t="shared" si="8"/>
        <v>1583.8541666666665</v>
      </c>
      <c r="AC58" s="164"/>
      <c r="AD58" s="164"/>
      <c r="AE58" s="156">
        <v>900</v>
      </c>
      <c r="AF58" s="160">
        <f t="shared" si="11"/>
        <v>683.85416666666652</v>
      </c>
    </row>
    <row r="59" spans="1:32" s="22" customFormat="1" ht="24.95" customHeight="1" x14ac:dyDescent="0.25">
      <c r="A59" s="152">
        <f t="shared" si="12"/>
        <v>57</v>
      </c>
      <c r="B59" s="152" t="s">
        <v>338</v>
      </c>
      <c r="C59" s="161" t="s">
        <v>339</v>
      </c>
      <c r="D59" s="154">
        <v>900</v>
      </c>
      <c r="E59" s="155">
        <v>700</v>
      </c>
      <c r="F59" s="156">
        <v>200</v>
      </c>
      <c r="G59" s="156">
        <v>200</v>
      </c>
      <c r="H59" s="157">
        <f t="shared" si="9"/>
        <v>1100</v>
      </c>
      <c r="I59" s="152">
        <v>30</v>
      </c>
      <c r="J59" s="158">
        <v>23</v>
      </c>
      <c r="K59" s="152">
        <f t="shared" si="0"/>
        <v>7</v>
      </c>
      <c r="L59" s="156">
        <f t="shared" si="1"/>
        <v>163.33333333333331</v>
      </c>
      <c r="M59" s="152">
        <v>12</v>
      </c>
      <c r="N59" s="156">
        <f t="shared" si="2"/>
        <v>43.75</v>
      </c>
      <c r="O59" s="152">
        <v>14</v>
      </c>
      <c r="P59" s="156">
        <f t="shared" si="10"/>
        <v>51.041666666666657</v>
      </c>
      <c r="Q59" s="152">
        <v>8</v>
      </c>
      <c r="R59" s="156">
        <f t="shared" si="3"/>
        <v>35</v>
      </c>
      <c r="S59" s="156">
        <v>0</v>
      </c>
      <c r="T59" s="156">
        <f t="shared" si="4"/>
        <v>0</v>
      </c>
      <c r="U59" s="152">
        <f t="shared" si="5"/>
        <v>7</v>
      </c>
      <c r="V59" s="156">
        <f>G59/I59*U59</f>
        <v>46.666666666666671</v>
      </c>
      <c r="W59" s="156">
        <v>0</v>
      </c>
      <c r="X59" s="152">
        <f t="shared" si="15"/>
        <v>0</v>
      </c>
      <c r="Y59" s="156">
        <f t="shared" si="7"/>
        <v>46.666666666666671</v>
      </c>
      <c r="Z59" s="154">
        <v>0</v>
      </c>
      <c r="AA59" s="154"/>
      <c r="AB59" s="157">
        <f t="shared" si="8"/>
        <v>386.45833333333337</v>
      </c>
      <c r="AC59" s="154"/>
      <c r="AD59" s="154"/>
      <c r="AE59" s="156">
        <v>210</v>
      </c>
      <c r="AF59" s="160">
        <f t="shared" si="11"/>
        <v>176.45833333333337</v>
      </c>
    </row>
    <row r="60" spans="1:32" s="22" customFormat="1" ht="24.95" customHeight="1" x14ac:dyDescent="0.25">
      <c r="A60" s="152">
        <f t="shared" si="12"/>
        <v>58</v>
      </c>
      <c r="B60" s="154" t="s">
        <v>354</v>
      </c>
      <c r="C60" s="174" t="s">
        <v>355</v>
      </c>
      <c r="D60" s="154"/>
      <c r="E60" s="155">
        <v>700</v>
      </c>
      <c r="F60" s="156">
        <v>200</v>
      </c>
      <c r="G60" s="156">
        <v>200</v>
      </c>
      <c r="H60" s="157">
        <f t="shared" si="9"/>
        <v>1100</v>
      </c>
      <c r="I60" s="152">
        <v>30</v>
      </c>
      <c r="J60" s="158">
        <v>0</v>
      </c>
      <c r="K60" s="152">
        <f t="shared" si="0"/>
        <v>30</v>
      </c>
      <c r="L60" s="156">
        <f t="shared" si="1"/>
        <v>700</v>
      </c>
      <c r="M60" s="152">
        <v>50</v>
      </c>
      <c r="N60" s="156">
        <f t="shared" si="2"/>
        <v>182.29166666666666</v>
      </c>
      <c r="O60" s="152">
        <v>51</v>
      </c>
      <c r="P60" s="156">
        <f t="shared" si="10"/>
        <v>185.9375</v>
      </c>
      <c r="Q60" s="152">
        <v>15</v>
      </c>
      <c r="R60" s="156">
        <f t="shared" si="3"/>
        <v>65.625</v>
      </c>
      <c r="S60" s="156">
        <v>6</v>
      </c>
      <c r="T60" s="156">
        <f t="shared" si="4"/>
        <v>43.75</v>
      </c>
      <c r="U60" s="152">
        <f t="shared" si="5"/>
        <v>30</v>
      </c>
      <c r="V60" s="156">
        <f>G60/I60*U60</f>
        <v>200</v>
      </c>
      <c r="W60" s="156">
        <v>0</v>
      </c>
      <c r="X60" s="152">
        <f t="shared" si="15"/>
        <v>0</v>
      </c>
      <c r="Y60" s="156">
        <f t="shared" si="7"/>
        <v>200</v>
      </c>
      <c r="Z60" s="154">
        <v>25</v>
      </c>
      <c r="AA60" s="154"/>
      <c r="AB60" s="157">
        <f t="shared" si="8"/>
        <v>1602.6041666666665</v>
      </c>
      <c r="AC60" s="154"/>
      <c r="AD60" s="154"/>
      <c r="AE60" s="156">
        <v>900</v>
      </c>
      <c r="AF60" s="160">
        <f t="shared" si="11"/>
        <v>702.60416666666652</v>
      </c>
    </row>
    <row r="61" spans="1:32" s="22" customFormat="1" ht="24.95" customHeight="1" x14ac:dyDescent="0.25">
      <c r="A61" s="152">
        <f t="shared" si="12"/>
        <v>59</v>
      </c>
      <c r="B61" s="152" t="s">
        <v>553</v>
      </c>
      <c r="C61" s="161" t="s">
        <v>357</v>
      </c>
      <c r="D61" s="154">
        <v>900</v>
      </c>
      <c r="E61" s="155">
        <v>700</v>
      </c>
      <c r="F61" s="156">
        <v>200</v>
      </c>
      <c r="G61" s="156">
        <v>200</v>
      </c>
      <c r="H61" s="157">
        <f t="shared" si="9"/>
        <v>1100</v>
      </c>
      <c r="I61" s="152">
        <v>30</v>
      </c>
      <c r="J61" s="158">
        <v>1</v>
      </c>
      <c r="K61" s="152">
        <f t="shared" si="0"/>
        <v>29</v>
      </c>
      <c r="L61" s="156">
        <f t="shared" si="1"/>
        <v>676.66666666666663</v>
      </c>
      <c r="M61" s="152">
        <v>44</v>
      </c>
      <c r="N61" s="156">
        <f t="shared" si="2"/>
        <v>160.41666666666666</v>
      </c>
      <c r="O61" s="152">
        <v>0</v>
      </c>
      <c r="P61" s="156">
        <f t="shared" si="10"/>
        <v>0</v>
      </c>
      <c r="Q61" s="152">
        <v>0</v>
      </c>
      <c r="R61" s="156">
        <f t="shared" si="3"/>
        <v>0</v>
      </c>
      <c r="S61" s="156">
        <v>0</v>
      </c>
      <c r="T61" s="156">
        <f t="shared" si="4"/>
        <v>0</v>
      </c>
      <c r="U61" s="152">
        <f t="shared" si="5"/>
        <v>29</v>
      </c>
      <c r="V61" s="163">
        <v>0</v>
      </c>
      <c r="W61" s="156">
        <v>0</v>
      </c>
      <c r="X61" s="152">
        <f t="shared" si="15"/>
        <v>0</v>
      </c>
      <c r="Y61" s="156">
        <f t="shared" si="7"/>
        <v>193.33333333333334</v>
      </c>
      <c r="Z61" s="154">
        <v>0</v>
      </c>
      <c r="AA61" s="154"/>
      <c r="AB61" s="157">
        <f t="shared" si="8"/>
        <v>1030.4166666666665</v>
      </c>
      <c r="AC61" s="154"/>
      <c r="AD61" s="175"/>
      <c r="AE61" s="156">
        <v>765</v>
      </c>
      <c r="AF61" s="160">
        <f t="shared" si="11"/>
        <v>265.41666666666652</v>
      </c>
    </row>
    <row r="62" spans="1:32" s="22" customFormat="1" ht="24.95" customHeight="1" x14ac:dyDescent="0.25">
      <c r="A62" s="152">
        <f t="shared" si="12"/>
        <v>60</v>
      </c>
      <c r="B62" s="154" t="s">
        <v>360</v>
      </c>
      <c r="C62" s="174" t="s">
        <v>361</v>
      </c>
      <c r="D62" s="154">
        <v>900</v>
      </c>
      <c r="E62" s="155">
        <v>700</v>
      </c>
      <c r="F62" s="156">
        <v>200</v>
      </c>
      <c r="G62" s="156">
        <v>200</v>
      </c>
      <c r="H62" s="157">
        <f t="shared" si="9"/>
        <v>1100</v>
      </c>
      <c r="I62" s="152">
        <v>30</v>
      </c>
      <c r="J62" s="158">
        <v>0</v>
      </c>
      <c r="K62" s="152">
        <f t="shared" si="0"/>
        <v>30</v>
      </c>
      <c r="L62" s="156">
        <f t="shared" si="1"/>
        <v>700</v>
      </c>
      <c r="M62" s="152">
        <v>50</v>
      </c>
      <c r="N62" s="156">
        <f t="shared" si="2"/>
        <v>182.29166666666666</v>
      </c>
      <c r="O62" s="152">
        <v>0</v>
      </c>
      <c r="P62" s="156">
        <f t="shared" si="10"/>
        <v>0</v>
      </c>
      <c r="Q62" s="152">
        <v>0</v>
      </c>
      <c r="R62" s="156">
        <f t="shared" si="3"/>
        <v>0</v>
      </c>
      <c r="S62" s="156">
        <v>0</v>
      </c>
      <c r="T62" s="156">
        <f t="shared" si="4"/>
        <v>0</v>
      </c>
      <c r="U62" s="152">
        <f t="shared" si="5"/>
        <v>30</v>
      </c>
      <c r="V62" s="156">
        <f>G62/I62*U62</f>
        <v>200</v>
      </c>
      <c r="W62" s="156">
        <v>0</v>
      </c>
      <c r="X62" s="152">
        <f t="shared" si="15"/>
        <v>0</v>
      </c>
      <c r="Y62" s="156">
        <f t="shared" si="7"/>
        <v>200</v>
      </c>
      <c r="Z62" s="154">
        <v>0</v>
      </c>
      <c r="AA62" s="154"/>
      <c r="AB62" s="157">
        <f t="shared" si="8"/>
        <v>1282.2916666666665</v>
      </c>
      <c r="AC62" s="154"/>
      <c r="AD62" s="154"/>
      <c r="AE62" s="156">
        <v>900</v>
      </c>
      <c r="AF62" s="160">
        <f t="shared" si="11"/>
        <v>382.29166666666652</v>
      </c>
    </row>
    <row r="63" spans="1:32" s="22" customFormat="1" ht="24.95" customHeight="1" x14ac:dyDescent="0.25">
      <c r="A63" s="152">
        <f t="shared" si="12"/>
        <v>61</v>
      </c>
      <c r="B63" s="154" t="s">
        <v>362</v>
      </c>
      <c r="C63" s="174" t="s">
        <v>363</v>
      </c>
      <c r="D63" s="154">
        <v>900</v>
      </c>
      <c r="E63" s="155">
        <v>700</v>
      </c>
      <c r="F63" s="156">
        <v>200</v>
      </c>
      <c r="G63" s="156">
        <v>200</v>
      </c>
      <c r="H63" s="157">
        <f t="shared" si="9"/>
        <v>1100</v>
      </c>
      <c r="I63" s="152">
        <v>30</v>
      </c>
      <c r="J63" s="158">
        <v>2</v>
      </c>
      <c r="K63" s="152">
        <f t="shared" si="0"/>
        <v>28</v>
      </c>
      <c r="L63" s="156">
        <f t="shared" si="1"/>
        <v>653.33333333333326</v>
      </c>
      <c r="M63" s="152">
        <v>44</v>
      </c>
      <c r="N63" s="156">
        <f t="shared" si="2"/>
        <v>160.41666666666666</v>
      </c>
      <c r="O63" s="152">
        <v>35.5</v>
      </c>
      <c r="P63" s="156">
        <f t="shared" si="10"/>
        <v>129.42708333333331</v>
      </c>
      <c r="Q63" s="152">
        <v>17.5</v>
      </c>
      <c r="R63" s="156">
        <f t="shared" si="3"/>
        <v>76.5625</v>
      </c>
      <c r="S63" s="156">
        <v>9.5</v>
      </c>
      <c r="T63" s="156">
        <f t="shared" si="4"/>
        <v>69.270833333333329</v>
      </c>
      <c r="U63" s="152">
        <f t="shared" si="5"/>
        <v>28</v>
      </c>
      <c r="V63" s="156">
        <f>G63/I63*U63</f>
        <v>186.66666666666669</v>
      </c>
      <c r="W63" s="156">
        <v>0</v>
      </c>
      <c r="X63" s="152">
        <f t="shared" si="15"/>
        <v>0</v>
      </c>
      <c r="Y63" s="156">
        <f t="shared" si="7"/>
        <v>186.66666666666669</v>
      </c>
      <c r="Z63" s="154">
        <v>25</v>
      </c>
      <c r="AA63" s="154"/>
      <c r="AB63" s="157">
        <f t="shared" si="8"/>
        <v>1487.34375</v>
      </c>
      <c r="AC63" s="154"/>
      <c r="AD63" s="159"/>
      <c r="AE63" s="156">
        <v>870</v>
      </c>
      <c r="AF63" s="160">
        <f t="shared" si="11"/>
        <v>617.34375</v>
      </c>
    </row>
    <row r="64" spans="1:32" s="22" customFormat="1" ht="24.95" customHeight="1" x14ac:dyDescent="0.25">
      <c r="A64" s="152">
        <f t="shared" si="12"/>
        <v>62</v>
      </c>
      <c r="B64" s="154" t="s">
        <v>368</v>
      </c>
      <c r="C64" s="174" t="s">
        <v>533</v>
      </c>
      <c r="D64" s="154">
        <v>900</v>
      </c>
      <c r="E64" s="155">
        <v>700</v>
      </c>
      <c r="F64" s="156">
        <v>200</v>
      </c>
      <c r="G64" s="156">
        <v>200</v>
      </c>
      <c r="H64" s="157">
        <f t="shared" si="9"/>
        <v>1100</v>
      </c>
      <c r="I64" s="152">
        <v>30</v>
      </c>
      <c r="J64" s="158">
        <v>0</v>
      </c>
      <c r="K64" s="152">
        <f t="shared" si="0"/>
        <v>30</v>
      </c>
      <c r="L64" s="156">
        <f t="shared" si="1"/>
        <v>700</v>
      </c>
      <c r="M64" s="152">
        <v>50</v>
      </c>
      <c r="N64" s="156">
        <f t="shared" si="2"/>
        <v>182.29166666666666</v>
      </c>
      <c r="O64" s="152">
        <v>0</v>
      </c>
      <c r="P64" s="156">
        <f t="shared" si="10"/>
        <v>0</v>
      </c>
      <c r="Q64" s="152">
        <v>20</v>
      </c>
      <c r="R64" s="156">
        <f t="shared" si="3"/>
        <v>87.5</v>
      </c>
      <c r="S64" s="156">
        <v>0</v>
      </c>
      <c r="T64" s="156">
        <f t="shared" si="4"/>
        <v>0</v>
      </c>
      <c r="U64" s="152">
        <f t="shared" si="5"/>
        <v>30</v>
      </c>
      <c r="V64" s="163">
        <v>0</v>
      </c>
      <c r="W64" s="156">
        <v>0</v>
      </c>
      <c r="X64" s="152">
        <f t="shared" si="15"/>
        <v>0</v>
      </c>
      <c r="Y64" s="156">
        <f t="shared" si="7"/>
        <v>200</v>
      </c>
      <c r="Z64" s="154">
        <v>25</v>
      </c>
      <c r="AA64" s="164"/>
      <c r="AB64" s="157">
        <f t="shared" si="8"/>
        <v>1194.7916666666665</v>
      </c>
      <c r="AC64" s="164"/>
      <c r="AD64" s="164"/>
      <c r="AE64" s="156">
        <v>765</v>
      </c>
      <c r="AF64" s="160">
        <f t="shared" si="11"/>
        <v>429.79166666666652</v>
      </c>
    </row>
    <row r="65" spans="1:32" s="22" customFormat="1" ht="24.95" customHeight="1" x14ac:dyDescent="0.25">
      <c r="A65" s="152">
        <f t="shared" si="12"/>
        <v>63</v>
      </c>
      <c r="B65" s="154" t="s">
        <v>370</v>
      </c>
      <c r="C65" s="174" t="s">
        <v>371</v>
      </c>
      <c r="D65" s="154">
        <v>900</v>
      </c>
      <c r="E65" s="155">
        <v>700</v>
      </c>
      <c r="F65" s="156">
        <v>200</v>
      </c>
      <c r="G65" s="156">
        <v>200</v>
      </c>
      <c r="H65" s="157">
        <f t="shared" si="9"/>
        <v>1100</v>
      </c>
      <c r="I65" s="152">
        <v>30</v>
      </c>
      <c r="J65" s="158">
        <v>0</v>
      </c>
      <c r="K65" s="152">
        <f t="shared" si="0"/>
        <v>30</v>
      </c>
      <c r="L65" s="156">
        <f t="shared" si="1"/>
        <v>700</v>
      </c>
      <c r="M65" s="152">
        <v>50</v>
      </c>
      <c r="N65" s="156">
        <f t="shared" si="2"/>
        <v>182.29166666666666</v>
      </c>
      <c r="O65" s="152">
        <v>30</v>
      </c>
      <c r="P65" s="156">
        <f t="shared" si="10"/>
        <v>109.375</v>
      </c>
      <c r="Q65" s="152">
        <v>6</v>
      </c>
      <c r="R65" s="156">
        <f t="shared" si="3"/>
        <v>26.25</v>
      </c>
      <c r="S65" s="156">
        <v>11</v>
      </c>
      <c r="T65" s="156">
        <f t="shared" si="4"/>
        <v>80.208333333333314</v>
      </c>
      <c r="U65" s="152">
        <f t="shared" si="5"/>
        <v>30</v>
      </c>
      <c r="V65" s="156">
        <f>G65/I65*U65</f>
        <v>200</v>
      </c>
      <c r="W65" s="156">
        <v>0</v>
      </c>
      <c r="X65" s="152">
        <f t="shared" si="15"/>
        <v>0</v>
      </c>
      <c r="Y65" s="156">
        <f t="shared" si="7"/>
        <v>200</v>
      </c>
      <c r="Z65" s="154">
        <v>0</v>
      </c>
      <c r="AA65" s="154"/>
      <c r="AB65" s="157">
        <f t="shared" si="8"/>
        <v>1498.1249999999998</v>
      </c>
      <c r="AC65" s="154"/>
      <c r="AD65" s="159"/>
      <c r="AE65" s="156">
        <v>900</v>
      </c>
      <c r="AF65" s="160">
        <f t="shared" si="11"/>
        <v>598.12499999999977</v>
      </c>
    </row>
    <row r="66" spans="1:32" s="22" customFormat="1" ht="24.95" customHeight="1" x14ac:dyDescent="0.25">
      <c r="A66" s="152">
        <f t="shared" si="12"/>
        <v>64</v>
      </c>
      <c r="B66" s="154" t="s">
        <v>372</v>
      </c>
      <c r="C66" s="176" t="s">
        <v>373</v>
      </c>
      <c r="D66" s="154">
        <v>900</v>
      </c>
      <c r="E66" s="155">
        <v>700</v>
      </c>
      <c r="F66" s="156">
        <v>200</v>
      </c>
      <c r="G66" s="156">
        <v>200</v>
      </c>
      <c r="H66" s="157">
        <f t="shared" si="9"/>
        <v>1100</v>
      </c>
      <c r="I66" s="152">
        <v>30</v>
      </c>
      <c r="J66" s="165">
        <v>1</v>
      </c>
      <c r="K66" s="152">
        <f t="shared" si="0"/>
        <v>29</v>
      </c>
      <c r="L66" s="156">
        <f t="shared" si="1"/>
        <v>676.66666666666663</v>
      </c>
      <c r="M66" s="152">
        <v>40</v>
      </c>
      <c r="N66" s="156">
        <f t="shared" si="2"/>
        <v>145.83333333333331</v>
      </c>
      <c r="O66" s="152">
        <v>40.5</v>
      </c>
      <c r="P66" s="156">
        <f t="shared" si="10"/>
        <v>147.65625</v>
      </c>
      <c r="Q66" s="152">
        <v>0</v>
      </c>
      <c r="R66" s="156">
        <f t="shared" si="3"/>
        <v>0</v>
      </c>
      <c r="S66" s="156">
        <v>0</v>
      </c>
      <c r="T66" s="156">
        <f t="shared" si="4"/>
        <v>0</v>
      </c>
      <c r="U66" s="152">
        <f t="shared" si="5"/>
        <v>29</v>
      </c>
      <c r="V66" s="156">
        <f>G66/I66*U66/30*23</f>
        <v>148.22222222222223</v>
      </c>
      <c r="W66" s="156">
        <v>0</v>
      </c>
      <c r="X66" s="152">
        <f t="shared" si="15"/>
        <v>0</v>
      </c>
      <c r="Y66" s="156">
        <f t="shared" si="7"/>
        <v>193.33333333333334</v>
      </c>
      <c r="Z66" s="154">
        <v>0</v>
      </c>
      <c r="AA66" s="154"/>
      <c r="AB66" s="157">
        <f t="shared" si="8"/>
        <v>1311.7118055555554</v>
      </c>
      <c r="AC66" s="154"/>
      <c r="AD66" s="159"/>
      <c r="AE66" s="156">
        <v>900</v>
      </c>
      <c r="AF66" s="160">
        <f t="shared" si="11"/>
        <v>411.71180555555543</v>
      </c>
    </row>
    <row r="67" spans="1:32" s="22" customFormat="1" ht="24.95" customHeight="1" x14ac:dyDescent="0.25">
      <c r="A67" s="152">
        <f t="shared" si="12"/>
        <v>65</v>
      </c>
      <c r="B67" s="154" t="s">
        <v>374</v>
      </c>
      <c r="C67" s="174" t="s">
        <v>375</v>
      </c>
      <c r="D67" s="154">
        <v>900</v>
      </c>
      <c r="E67" s="155">
        <v>700</v>
      </c>
      <c r="F67" s="156">
        <v>200</v>
      </c>
      <c r="G67" s="156">
        <v>200</v>
      </c>
      <c r="H67" s="157">
        <f t="shared" si="9"/>
        <v>1100</v>
      </c>
      <c r="I67" s="152">
        <v>30</v>
      </c>
      <c r="J67" s="158">
        <v>0</v>
      </c>
      <c r="K67" s="152">
        <f t="shared" ref="K67:K125" si="16">I67-J67</f>
        <v>30</v>
      </c>
      <c r="L67" s="156">
        <f t="shared" ref="L67:L124" si="17">E67/I67*K67</f>
        <v>700</v>
      </c>
      <c r="M67" s="152">
        <v>50</v>
      </c>
      <c r="N67" s="156">
        <f t="shared" ref="N67:N125" si="18">E67/30/8*1.25*M67</f>
        <v>182.29166666666666</v>
      </c>
      <c r="O67" s="152">
        <v>43</v>
      </c>
      <c r="P67" s="156">
        <f t="shared" si="10"/>
        <v>156.77083333333331</v>
      </c>
      <c r="Q67" s="152">
        <v>15.5</v>
      </c>
      <c r="R67" s="156">
        <f t="shared" ref="R67:R125" si="19">E67/30*Q67/8*1.5</f>
        <v>67.8125</v>
      </c>
      <c r="S67" s="156">
        <v>6</v>
      </c>
      <c r="T67" s="156">
        <f t="shared" ref="T67:T125" si="20">E67/30*S67/8*2.5</f>
        <v>43.75</v>
      </c>
      <c r="U67" s="152">
        <f t="shared" ref="U67:U125" si="21">K67</f>
        <v>30</v>
      </c>
      <c r="V67" s="156">
        <f>G67/I67*U67</f>
        <v>200</v>
      </c>
      <c r="W67" s="156">
        <v>0</v>
      </c>
      <c r="X67" s="152">
        <f t="shared" si="15"/>
        <v>0</v>
      </c>
      <c r="Y67" s="156">
        <f t="shared" ref="Y67:Y125" si="22">F67/I67*K67</f>
        <v>200</v>
      </c>
      <c r="Z67" s="154">
        <v>25</v>
      </c>
      <c r="AA67" s="154"/>
      <c r="AB67" s="157">
        <f t="shared" ref="AB67:AB125" si="23">L67+N67+P67+R67+V67+X67+Y67+Z67-AA67+T67</f>
        <v>1575.625</v>
      </c>
      <c r="AC67" s="154"/>
      <c r="AD67" s="154"/>
      <c r="AE67" s="156">
        <v>870</v>
      </c>
      <c r="AF67" s="160">
        <f t="shared" si="11"/>
        <v>705.625</v>
      </c>
    </row>
    <row r="68" spans="1:32" s="22" customFormat="1" ht="24.95" customHeight="1" x14ac:dyDescent="0.25">
      <c r="A68" s="152">
        <f t="shared" si="12"/>
        <v>66</v>
      </c>
      <c r="B68" s="154" t="s">
        <v>376</v>
      </c>
      <c r="C68" s="174" t="s">
        <v>377</v>
      </c>
      <c r="D68" s="154">
        <v>900</v>
      </c>
      <c r="E68" s="155">
        <v>700</v>
      </c>
      <c r="F68" s="156">
        <v>200</v>
      </c>
      <c r="G68" s="156">
        <v>200</v>
      </c>
      <c r="H68" s="157">
        <f t="shared" ref="H68:H125" si="24">E68+F68+G68</f>
        <v>1100</v>
      </c>
      <c r="I68" s="152">
        <v>30</v>
      </c>
      <c r="J68" s="158">
        <v>0</v>
      </c>
      <c r="K68" s="152">
        <f t="shared" si="16"/>
        <v>30</v>
      </c>
      <c r="L68" s="156">
        <f t="shared" si="17"/>
        <v>700</v>
      </c>
      <c r="M68" s="152">
        <v>50</v>
      </c>
      <c r="N68" s="156">
        <f t="shared" si="18"/>
        <v>182.29166666666666</v>
      </c>
      <c r="O68" s="152">
        <v>0</v>
      </c>
      <c r="P68" s="156">
        <f t="shared" ref="P68:P125" si="25">E68/30*O68/8*1.25</f>
        <v>0</v>
      </c>
      <c r="Q68" s="152">
        <v>0</v>
      </c>
      <c r="R68" s="156">
        <f t="shared" si="19"/>
        <v>0</v>
      </c>
      <c r="S68" s="156">
        <v>0</v>
      </c>
      <c r="T68" s="156">
        <f t="shared" si="20"/>
        <v>0</v>
      </c>
      <c r="U68" s="152">
        <f t="shared" si="21"/>
        <v>30</v>
      </c>
      <c r="V68" s="156">
        <f>G68/I68*U68</f>
        <v>200</v>
      </c>
      <c r="W68" s="156">
        <v>0</v>
      </c>
      <c r="X68" s="152">
        <f t="shared" si="15"/>
        <v>0</v>
      </c>
      <c r="Y68" s="156">
        <f t="shared" si="22"/>
        <v>200</v>
      </c>
      <c r="Z68" s="154">
        <v>0</v>
      </c>
      <c r="AA68" s="154"/>
      <c r="AB68" s="157">
        <f t="shared" si="23"/>
        <v>1282.2916666666665</v>
      </c>
      <c r="AC68" s="154"/>
      <c r="AD68" s="154"/>
      <c r="AE68" s="156">
        <v>900</v>
      </c>
      <c r="AF68" s="160">
        <f t="shared" ref="AF68:AF125" si="26">AB68-AE68</f>
        <v>382.29166666666652</v>
      </c>
    </row>
    <row r="69" spans="1:32" s="22" customFormat="1" ht="24.95" customHeight="1" x14ac:dyDescent="0.25">
      <c r="A69" s="152">
        <f t="shared" ref="A69:A124" si="27">A68+1</f>
        <v>67</v>
      </c>
      <c r="B69" s="154" t="s">
        <v>382</v>
      </c>
      <c r="C69" s="174" t="s">
        <v>535</v>
      </c>
      <c r="D69" s="154">
        <v>900</v>
      </c>
      <c r="E69" s="155">
        <v>700</v>
      </c>
      <c r="F69" s="156">
        <v>200</v>
      </c>
      <c r="G69" s="156">
        <v>200</v>
      </c>
      <c r="H69" s="157">
        <f t="shared" si="24"/>
        <v>1100</v>
      </c>
      <c r="I69" s="152">
        <v>30</v>
      </c>
      <c r="J69" s="158">
        <v>3</v>
      </c>
      <c r="K69" s="152">
        <f t="shared" si="16"/>
        <v>27</v>
      </c>
      <c r="L69" s="156">
        <f t="shared" si="17"/>
        <v>630</v>
      </c>
      <c r="M69" s="152">
        <v>44</v>
      </c>
      <c r="N69" s="156">
        <f t="shared" si="18"/>
        <v>160.41666666666666</v>
      </c>
      <c r="O69" s="152">
        <v>0</v>
      </c>
      <c r="P69" s="156">
        <f t="shared" si="25"/>
        <v>0</v>
      </c>
      <c r="Q69" s="152">
        <v>0</v>
      </c>
      <c r="R69" s="156">
        <f t="shared" si="19"/>
        <v>0</v>
      </c>
      <c r="S69" s="156">
        <v>0</v>
      </c>
      <c r="T69" s="156">
        <f t="shared" si="20"/>
        <v>0</v>
      </c>
      <c r="U69" s="152">
        <f t="shared" si="21"/>
        <v>27</v>
      </c>
      <c r="V69" s="163">
        <v>0</v>
      </c>
      <c r="W69" s="156">
        <v>0</v>
      </c>
      <c r="X69" s="152">
        <f t="shared" si="15"/>
        <v>0</v>
      </c>
      <c r="Y69" s="156">
        <f t="shared" si="22"/>
        <v>180</v>
      </c>
      <c r="Z69" s="154">
        <v>0</v>
      </c>
      <c r="AA69" s="164"/>
      <c r="AB69" s="157">
        <f t="shared" si="23"/>
        <v>970.41666666666663</v>
      </c>
      <c r="AC69" s="164"/>
      <c r="AD69" s="164"/>
      <c r="AE69" s="156">
        <v>765</v>
      </c>
      <c r="AF69" s="160">
        <f t="shared" si="26"/>
        <v>205.41666666666663</v>
      </c>
    </row>
    <row r="70" spans="1:32" s="22" customFormat="1" ht="24.95" customHeight="1" x14ac:dyDescent="0.25">
      <c r="A70" s="152">
        <f t="shared" si="27"/>
        <v>68</v>
      </c>
      <c r="B70" s="154" t="s">
        <v>386</v>
      </c>
      <c r="C70" s="174" t="s">
        <v>387</v>
      </c>
      <c r="D70" s="154">
        <v>900</v>
      </c>
      <c r="E70" s="155">
        <v>700</v>
      </c>
      <c r="F70" s="156">
        <v>200</v>
      </c>
      <c r="G70" s="156">
        <v>200</v>
      </c>
      <c r="H70" s="157">
        <f t="shared" si="24"/>
        <v>1100</v>
      </c>
      <c r="I70" s="152">
        <v>30</v>
      </c>
      <c r="J70" s="158">
        <v>0</v>
      </c>
      <c r="K70" s="152">
        <f t="shared" si="16"/>
        <v>30</v>
      </c>
      <c r="L70" s="156">
        <f t="shared" si="17"/>
        <v>700</v>
      </c>
      <c r="M70" s="152">
        <v>50</v>
      </c>
      <c r="N70" s="156">
        <f t="shared" si="18"/>
        <v>182.29166666666666</v>
      </c>
      <c r="O70" s="152">
        <v>25</v>
      </c>
      <c r="P70" s="156">
        <f t="shared" si="25"/>
        <v>91.145833333333314</v>
      </c>
      <c r="Q70" s="152">
        <v>32</v>
      </c>
      <c r="R70" s="156">
        <f t="shared" si="19"/>
        <v>140</v>
      </c>
      <c r="S70" s="156">
        <v>0</v>
      </c>
      <c r="T70" s="156">
        <f t="shared" si="20"/>
        <v>0</v>
      </c>
      <c r="U70" s="152">
        <f t="shared" si="21"/>
        <v>30</v>
      </c>
      <c r="V70" s="156">
        <f>G70/I70*U70</f>
        <v>200</v>
      </c>
      <c r="W70" s="156">
        <v>0</v>
      </c>
      <c r="X70" s="152">
        <f t="shared" si="15"/>
        <v>0</v>
      </c>
      <c r="Y70" s="156">
        <f t="shared" si="22"/>
        <v>200</v>
      </c>
      <c r="Z70" s="154">
        <v>50</v>
      </c>
      <c r="AA70" s="154"/>
      <c r="AB70" s="157">
        <f t="shared" si="23"/>
        <v>1563.4375</v>
      </c>
      <c r="AC70" s="154"/>
      <c r="AD70" s="154"/>
      <c r="AE70" s="156">
        <v>900</v>
      </c>
      <c r="AF70" s="160">
        <f t="shared" si="26"/>
        <v>663.4375</v>
      </c>
    </row>
    <row r="71" spans="1:32" s="22" customFormat="1" ht="24.95" customHeight="1" x14ac:dyDescent="0.25">
      <c r="A71" s="152">
        <f t="shared" si="27"/>
        <v>69</v>
      </c>
      <c r="B71" s="154" t="s">
        <v>390</v>
      </c>
      <c r="C71" s="174" t="s">
        <v>391</v>
      </c>
      <c r="D71" s="154">
        <v>900</v>
      </c>
      <c r="E71" s="155">
        <v>700</v>
      </c>
      <c r="F71" s="156">
        <v>200</v>
      </c>
      <c r="G71" s="156">
        <v>200</v>
      </c>
      <c r="H71" s="157">
        <f t="shared" si="24"/>
        <v>1100</v>
      </c>
      <c r="I71" s="152">
        <v>30</v>
      </c>
      <c r="J71" s="158">
        <v>0</v>
      </c>
      <c r="K71" s="152">
        <f t="shared" si="16"/>
        <v>30</v>
      </c>
      <c r="L71" s="156">
        <f t="shared" si="17"/>
        <v>700</v>
      </c>
      <c r="M71" s="152">
        <v>50</v>
      </c>
      <c r="N71" s="156">
        <f t="shared" si="18"/>
        <v>182.29166666666666</v>
      </c>
      <c r="O71" s="152">
        <v>0</v>
      </c>
      <c r="P71" s="156">
        <f t="shared" si="25"/>
        <v>0</v>
      </c>
      <c r="Q71" s="152">
        <v>20</v>
      </c>
      <c r="R71" s="156">
        <f t="shared" si="19"/>
        <v>87.5</v>
      </c>
      <c r="S71" s="156">
        <v>0</v>
      </c>
      <c r="T71" s="156">
        <f t="shared" si="20"/>
        <v>0</v>
      </c>
      <c r="U71" s="152">
        <f t="shared" si="21"/>
        <v>30</v>
      </c>
      <c r="V71" s="163">
        <v>0</v>
      </c>
      <c r="W71" s="156">
        <v>0</v>
      </c>
      <c r="X71" s="152">
        <f t="shared" si="15"/>
        <v>0</v>
      </c>
      <c r="Y71" s="156">
        <f t="shared" si="22"/>
        <v>200</v>
      </c>
      <c r="Z71" s="154">
        <v>25</v>
      </c>
      <c r="AA71" s="154"/>
      <c r="AB71" s="157">
        <f t="shared" si="23"/>
        <v>1194.7916666666665</v>
      </c>
      <c r="AC71" s="154"/>
      <c r="AD71" s="164"/>
      <c r="AE71" s="156">
        <v>765</v>
      </c>
      <c r="AF71" s="160">
        <f t="shared" si="26"/>
        <v>429.79166666666652</v>
      </c>
    </row>
    <row r="72" spans="1:32" s="22" customFormat="1" ht="24.95" customHeight="1" x14ac:dyDescent="0.25">
      <c r="A72" s="152">
        <f t="shared" si="27"/>
        <v>70</v>
      </c>
      <c r="B72" s="152" t="s">
        <v>174</v>
      </c>
      <c r="C72" s="161" t="s">
        <v>175</v>
      </c>
      <c r="D72" s="154">
        <v>900</v>
      </c>
      <c r="E72" s="155">
        <v>700</v>
      </c>
      <c r="F72" s="156">
        <v>200</v>
      </c>
      <c r="G72" s="156">
        <v>200</v>
      </c>
      <c r="H72" s="157">
        <f t="shared" si="24"/>
        <v>1100</v>
      </c>
      <c r="I72" s="152">
        <v>30</v>
      </c>
      <c r="J72" s="158">
        <v>0</v>
      </c>
      <c r="K72" s="152">
        <f t="shared" si="16"/>
        <v>30</v>
      </c>
      <c r="L72" s="156">
        <f t="shared" si="17"/>
        <v>700</v>
      </c>
      <c r="M72" s="152">
        <v>50</v>
      </c>
      <c r="N72" s="156">
        <f t="shared" si="18"/>
        <v>182.29166666666666</v>
      </c>
      <c r="O72" s="152">
        <v>0</v>
      </c>
      <c r="P72" s="156">
        <f t="shared" si="25"/>
        <v>0</v>
      </c>
      <c r="Q72" s="152">
        <v>0</v>
      </c>
      <c r="R72" s="156">
        <f t="shared" si="19"/>
        <v>0</v>
      </c>
      <c r="S72" s="156">
        <v>0</v>
      </c>
      <c r="T72" s="156">
        <f t="shared" si="20"/>
        <v>0</v>
      </c>
      <c r="U72" s="152">
        <f t="shared" si="21"/>
        <v>30</v>
      </c>
      <c r="V72" s="156">
        <f>G72/I72*U72</f>
        <v>200</v>
      </c>
      <c r="W72" s="156">
        <v>0</v>
      </c>
      <c r="X72" s="152">
        <f t="shared" si="15"/>
        <v>0</v>
      </c>
      <c r="Y72" s="156">
        <f t="shared" si="22"/>
        <v>200</v>
      </c>
      <c r="Z72" s="154">
        <v>0</v>
      </c>
      <c r="AA72" s="154"/>
      <c r="AB72" s="157">
        <f t="shared" si="23"/>
        <v>1282.2916666666665</v>
      </c>
      <c r="AC72" s="154"/>
      <c r="AD72" s="154"/>
      <c r="AE72" s="156">
        <v>900</v>
      </c>
      <c r="AF72" s="160">
        <f t="shared" si="26"/>
        <v>382.29166666666652</v>
      </c>
    </row>
    <row r="73" spans="1:32" s="22" customFormat="1" ht="24.95" customHeight="1" x14ac:dyDescent="0.25">
      <c r="A73" s="152">
        <f t="shared" si="27"/>
        <v>71</v>
      </c>
      <c r="B73" s="152" t="s">
        <v>180</v>
      </c>
      <c r="C73" s="161" t="s">
        <v>181</v>
      </c>
      <c r="D73" s="154">
        <v>900</v>
      </c>
      <c r="E73" s="155">
        <v>700</v>
      </c>
      <c r="F73" s="156">
        <v>200</v>
      </c>
      <c r="G73" s="156">
        <v>200</v>
      </c>
      <c r="H73" s="157">
        <f t="shared" si="24"/>
        <v>1100</v>
      </c>
      <c r="I73" s="152">
        <v>30</v>
      </c>
      <c r="J73" s="158">
        <v>0</v>
      </c>
      <c r="K73" s="152">
        <f t="shared" si="16"/>
        <v>30</v>
      </c>
      <c r="L73" s="156">
        <f t="shared" si="17"/>
        <v>700</v>
      </c>
      <c r="M73" s="152">
        <v>50</v>
      </c>
      <c r="N73" s="156">
        <f t="shared" si="18"/>
        <v>182.29166666666666</v>
      </c>
      <c r="O73" s="152">
        <v>0</v>
      </c>
      <c r="P73" s="156">
        <f t="shared" si="25"/>
        <v>0</v>
      </c>
      <c r="Q73" s="152">
        <v>0</v>
      </c>
      <c r="R73" s="156">
        <f t="shared" si="19"/>
        <v>0</v>
      </c>
      <c r="S73" s="156">
        <v>0</v>
      </c>
      <c r="T73" s="156">
        <f t="shared" si="20"/>
        <v>0</v>
      </c>
      <c r="U73" s="152">
        <f t="shared" si="21"/>
        <v>30</v>
      </c>
      <c r="V73" s="163">
        <v>0</v>
      </c>
      <c r="W73" s="156">
        <v>0</v>
      </c>
      <c r="X73" s="152">
        <f t="shared" si="15"/>
        <v>0</v>
      </c>
      <c r="Y73" s="156">
        <f t="shared" si="22"/>
        <v>200</v>
      </c>
      <c r="Z73" s="154">
        <v>0</v>
      </c>
      <c r="AA73" s="154"/>
      <c r="AB73" s="157">
        <f t="shared" si="23"/>
        <v>1082.2916666666665</v>
      </c>
      <c r="AC73" s="154"/>
      <c r="AD73" s="154"/>
      <c r="AE73" s="156">
        <v>765</v>
      </c>
      <c r="AF73" s="160">
        <f t="shared" si="26"/>
        <v>317.29166666666652</v>
      </c>
    </row>
    <row r="74" spans="1:32" s="22" customFormat="1" ht="24.95" customHeight="1" x14ac:dyDescent="0.25">
      <c r="A74" s="152">
        <f t="shared" si="27"/>
        <v>72</v>
      </c>
      <c r="B74" s="152" t="s">
        <v>186</v>
      </c>
      <c r="C74" s="161" t="s">
        <v>187</v>
      </c>
      <c r="D74" s="154">
        <v>900</v>
      </c>
      <c r="E74" s="155">
        <v>700</v>
      </c>
      <c r="F74" s="156">
        <v>200</v>
      </c>
      <c r="G74" s="156">
        <v>200</v>
      </c>
      <c r="H74" s="157">
        <f t="shared" si="24"/>
        <v>1100</v>
      </c>
      <c r="I74" s="152">
        <v>30</v>
      </c>
      <c r="J74" s="158">
        <v>0</v>
      </c>
      <c r="K74" s="152">
        <f t="shared" si="16"/>
        <v>30</v>
      </c>
      <c r="L74" s="156">
        <f t="shared" si="17"/>
        <v>700</v>
      </c>
      <c r="M74" s="152">
        <v>48</v>
      </c>
      <c r="N74" s="156">
        <f t="shared" si="18"/>
        <v>175</v>
      </c>
      <c r="O74" s="152">
        <v>24</v>
      </c>
      <c r="P74" s="156">
        <f t="shared" si="25"/>
        <v>87.5</v>
      </c>
      <c r="Q74" s="152">
        <v>24</v>
      </c>
      <c r="R74" s="156">
        <f t="shared" si="19"/>
        <v>105</v>
      </c>
      <c r="S74" s="156">
        <v>11</v>
      </c>
      <c r="T74" s="156">
        <f t="shared" si="20"/>
        <v>80.208333333333314</v>
      </c>
      <c r="U74" s="152">
        <f t="shared" si="21"/>
        <v>30</v>
      </c>
      <c r="V74" s="156">
        <f>G74/I74*U74</f>
        <v>200</v>
      </c>
      <c r="W74" s="156">
        <v>0</v>
      </c>
      <c r="X74" s="152">
        <f t="shared" si="15"/>
        <v>0</v>
      </c>
      <c r="Y74" s="156">
        <f t="shared" si="22"/>
        <v>200</v>
      </c>
      <c r="Z74" s="154">
        <v>50</v>
      </c>
      <c r="AA74" s="154"/>
      <c r="AB74" s="157">
        <f t="shared" si="23"/>
        <v>1597.7083333333333</v>
      </c>
      <c r="AC74" s="154"/>
      <c r="AD74" s="159"/>
      <c r="AE74" s="156">
        <v>900</v>
      </c>
      <c r="AF74" s="160">
        <f t="shared" si="26"/>
        <v>697.70833333333326</v>
      </c>
    </row>
    <row r="75" spans="1:32" s="22" customFormat="1" ht="24.95" customHeight="1" x14ac:dyDescent="0.25">
      <c r="A75" s="152">
        <f t="shared" si="27"/>
        <v>73</v>
      </c>
      <c r="B75" s="152" t="s">
        <v>190</v>
      </c>
      <c r="C75" s="161" t="s">
        <v>191</v>
      </c>
      <c r="D75" s="154">
        <v>900</v>
      </c>
      <c r="E75" s="155">
        <v>700</v>
      </c>
      <c r="F75" s="156">
        <v>200</v>
      </c>
      <c r="G75" s="156">
        <v>200</v>
      </c>
      <c r="H75" s="157">
        <f t="shared" si="24"/>
        <v>1100</v>
      </c>
      <c r="I75" s="152">
        <v>30</v>
      </c>
      <c r="J75" s="158">
        <v>0</v>
      </c>
      <c r="K75" s="152">
        <f t="shared" si="16"/>
        <v>30</v>
      </c>
      <c r="L75" s="156">
        <f t="shared" si="17"/>
        <v>700</v>
      </c>
      <c r="M75" s="152">
        <v>48</v>
      </c>
      <c r="N75" s="156">
        <f t="shared" si="18"/>
        <v>175</v>
      </c>
      <c r="O75" s="152">
        <v>59.5</v>
      </c>
      <c r="P75" s="156">
        <f t="shared" si="25"/>
        <v>216.92708333333331</v>
      </c>
      <c r="Q75" s="152">
        <v>0</v>
      </c>
      <c r="R75" s="156">
        <f t="shared" si="19"/>
        <v>0</v>
      </c>
      <c r="S75" s="156">
        <v>0</v>
      </c>
      <c r="T75" s="156">
        <f t="shared" si="20"/>
        <v>0</v>
      </c>
      <c r="U75" s="152">
        <f t="shared" si="21"/>
        <v>30</v>
      </c>
      <c r="V75" s="156">
        <f>G75/I75*U75</f>
        <v>200</v>
      </c>
      <c r="W75" s="156">
        <v>0</v>
      </c>
      <c r="X75" s="152">
        <f t="shared" si="15"/>
        <v>0</v>
      </c>
      <c r="Y75" s="156">
        <f t="shared" si="22"/>
        <v>200</v>
      </c>
      <c r="Z75" s="154">
        <v>0</v>
      </c>
      <c r="AA75" s="154"/>
      <c r="AB75" s="157">
        <f t="shared" si="23"/>
        <v>1491.9270833333333</v>
      </c>
      <c r="AC75" s="154"/>
      <c r="AD75" s="154"/>
      <c r="AE75" s="156">
        <v>900</v>
      </c>
      <c r="AF75" s="160">
        <f t="shared" si="26"/>
        <v>591.92708333333326</v>
      </c>
    </row>
    <row r="76" spans="1:32" s="22" customFormat="1" ht="24.95" customHeight="1" x14ac:dyDescent="0.25">
      <c r="A76" s="152">
        <f t="shared" si="27"/>
        <v>74</v>
      </c>
      <c r="B76" s="152" t="s">
        <v>192</v>
      </c>
      <c r="C76" s="161" t="s">
        <v>193</v>
      </c>
      <c r="D76" s="154">
        <v>900</v>
      </c>
      <c r="E76" s="155">
        <v>700</v>
      </c>
      <c r="F76" s="156">
        <v>200</v>
      </c>
      <c r="G76" s="156">
        <v>200</v>
      </c>
      <c r="H76" s="157">
        <f t="shared" si="24"/>
        <v>1100</v>
      </c>
      <c r="I76" s="152">
        <v>30</v>
      </c>
      <c r="J76" s="158">
        <v>0</v>
      </c>
      <c r="K76" s="152">
        <f t="shared" si="16"/>
        <v>30</v>
      </c>
      <c r="L76" s="156">
        <f t="shared" si="17"/>
        <v>700</v>
      </c>
      <c r="M76" s="152">
        <v>50</v>
      </c>
      <c r="N76" s="156">
        <f t="shared" si="18"/>
        <v>182.29166666666666</v>
      </c>
      <c r="O76" s="152">
        <v>27.5</v>
      </c>
      <c r="P76" s="156">
        <f t="shared" si="25"/>
        <v>100.26041666666666</v>
      </c>
      <c r="Q76" s="152">
        <v>44.5</v>
      </c>
      <c r="R76" s="156">
        <f t="shared" si="19"/>
        <v>194.6875</v>
      </c>
      <c r="S76" s="156">
        <v>11</v>
      </c>
      <c r="T76" s="156">
        <f t="shared" si="20"/>
        <v>80.208333333333314</v>
      </c>
      <c r="U76" s="152">
        <f t="shared" si="21"/>
        <v>30</v>
      </c>
      <c r="V76" s="156">
        <f>G76/I76*U76</f>
        <v>200</v>
      </c>
      <c r="W76" s="156">
        <v>0</v>
      </c>
      <c r="X76" s="152">
        <f t="shared" si="15"/>
        <v>0</v>
      </c>
      <c r="Y76" s="156">
        <f t="shared" si="22"/>
        <v>200</v>
      </c>
      <c r="Z76" s="154">
        <v>50</v>
      </c>
      <c r="AA76" s="154"/>
      <c r="AB76" s="157">
        <f t="shared" si="23"/>
        <v>1707.4479166666665</v>
      </c>
      <c r="AC76" s="154"/>
      <c r="AD76" s="177"/>
      <c r="AE76" s="156">
        <v>900</v>
      </c>
      <c r="AF76" s="160">
        <f t="shared" si="26"/>
        <v>807.44791666666652</v>
      </c>
    </row>
    <row r="77" spans="1:32" s="22" customFormat="1" ht="24.95" customHeight="1" x14ac:dyDescent="0.25">
      <c r="A77" s="152">
        <f t="shared" si="27"/>
        <v>75</v>
      </c>
      <c r="B77" s="152" t="s">
        <v>194</v>
      </c>
      <c r="C77" s="161" t="s">
        <v>195</v>
      </c>
      <c r="D77" s="154">
        <v>900</v>
      </c>
      <c r="E77" s="155">
        <v>700</v>
      </c>
      <c r="F77" s="156">
        <v>200</v>
      </c>
      <c r="G77" s="156">
        <v>200</v>
      </c>
      <c r="H77" s="157">
        <f t="shared" si="24"/>
        <v>1100</v>
      </c>
      <c r="I77" s="152">
        <v>30</v>
      </c>
      <c r="J77" s="158">
        <v>2</v>
      </c>
      <c r="K77" s="152">
        <f t="shared" si="16"/>
        <v>28</v>
      </c>
      <c r="L77" s="156">
        <f t="shared" si="17"/>
        <v>653.33333333333326</v>
      </c>
      <c r="M77" s="152">
        <v>46</v>
      </c>
      <c r="N77" s="156">
        <f t="shared" si="18"/>
        <v>167.70833333333331</v>
      </c>
      <c r="O77" s="152">
        <v>0</v>
      </c>
      <c r="P77" s="156">
        <f t="shared" si="25"/>
        <v>0</v>
      </c>
      <c r="Q77" s="152">
        <v>0</v>
      </c>
      <c r="R77" s="156">
        <f t="shared" si="19"/>
        <v>0</v>
      </c>
      <c r="S77" s="156">
        <v>0</v>
      </c>
      <c r="T77" s="156">
        <f t="shared" si="20"/>
        <v>0</v>
      </c>
      <c r="U77" s="152">
        <f t="shared" si="21"/>
        <v>28</v>
      </c>
      <c r="V77" s="163">
        <v>0</v>
      </c>
      <c r="W77" s="156">
        <v>0</v>
      </c>
      <c r="X77" s="152">
        <f t="shared" si="15"/>
        <v>0</v>
      </c>
      <c r="Y77" s="156">
        <f t="shared" si="22"/>
        <v>186.66666666666669</v>
      </c>
      <c r="Z77" s="154">
        <v>0</v>
      </c>
      <c r="AA77" s="154"/>
      <c r="AB77" s="157">
        <f t="shared" si="23"/>
        <v>1007.7083333333333</v>
      </c>
      <c r="AC77" s="154"/>
      <c r="AD77" s="159"/>
      <c r="AE77" s="156">
        <v>765</v>
      </c>
      <c r="AF77" s="160">
        <f t="shared" si="26"/>
        <v>242.70833333333326</v>
      </c>
    </row>
    <row r="78" spans="1:32" s="22" customFormat="1" ht="24.95" customHeight="1" x14ac:dyDescent="0.25">
      <c r="A78" s="152">
        <f t="shared" si="27"/>
        <v>76</v>
      </c>
      <c r="B78" s="152" t="s">
        <v>200</v>
      </c>
      <c r="C78" s="161" t="s">
        <v>470</v>
      </c>
      <c r="D78" s="154">
        <v>900</v>
      </c>
      <c r="E78" s="155">
        <v>700</v>
      </c>
      <c r="F78" s="156">
        <v>200</v>
      </c>
      <c r="G78" s="156">
        <v>200</v>
      </c>
      <c r="H78" s="157">
        <f t="shared" si="24"/>
        <v>1100</v>
      </c>
      <c r="I78" s="152">
        <v>30</v>
      </c>
      <c r="J78" s="158">
        <v>0</v>
      </c>
      <c r="K78" s="152">
        <f t="shared" si="16"/>
        <v>30</v>
      </c>
      <c r="L78" s="156">
        <f t="shared" si="17"/>
        <v>700</v>
      </c>
      <c r="M78" s="152">
        <v>50</v>
      </c>
      <c r="N78" s="156">
        <f t="shared" si="18"/>
        <v>182.29166666666666</v>
      </c>
      <c r="O78" s="152">
        <v>110</v>
      </c>
      <c r="P78" s="156">
        <f t="shared" si="25"/>
        <v>401.04166666666663</v>
      </c>
      <c r="Q78" s="152">
        <v>6</v>
      </c>
      <c r="R78" s="156">
        <f t="shared" si="19"/>
        <v>26.25</v>
      </c>
      <c r="S78" s="156">
        <v>0</v>
      </c>
      <c r="T78" s="156">
        <f t="shared" si="20"/>
        <v>0</v>
      </c>
      <c r="U78" s="152">
        <f t="shared" si="21"/>
        <v>30</v>
      </c>
      <c r="V78" s="156">
        <v>65</v>
      </c>
      <c r="W78" s="156">
        <v>0</v>
      </c>
      <c r="X78" s="152">
        <f t="shared" si="15"/>
        <v>0</v>
      </c>
      <c r="Y78" s="156">
        <f t="shared" si="22"/>
        <v>200</v>
      </c>
      <c r="Z78" s="154">
        <v>0</v>
      </c>
      <c r="AA78" s="154"/>
      <c r="AB78" s="157">
        <f t="shared" si="23"/>
        <v>1574.5833333333333</v>
      </c>
      <c r="AC78" s="164"/>
      <c r="AD78" s="159"/>
      <c r="AE78" s="156">
        <v>870</v>
      </c>
      <c r="AF78" s="160">
        <f t="shared" si="26"/>
        <v>704.58333333333326</v>
      </c>
    </row>
    <row r="79" spans="1:32" s="22" customFormat="1" ht="24.95" customHeight="1" x14ac:dyDescent="0.25">
      <c r="A79" s="152">
        <f t="shared" si="27"/>
        <v>77</v>
      </c>
      <c r="B79" s="152" t="s">
        <v>210</v>
      </c>
      <c r="C79" s="161" t="s">
        <v>211</v>
      </c>
      <c r="D79" s="154">
        <v>900</v>
      </c>
      <c r="E79" s="155">
        <v>700</v>
      </c>
      <c r="F79" s="156">
        <v>200</v>
      </c>
      <c r="G79" s="156">
        <v>200</v>
      </c>
      <c r="H79" s="157">
        <f t="shared" si="24"/>
        <v>1100</v>
      </c>
      <c r="I79" s="152">
        <v>30</v>
      </c>
      <c r="J79" s="158">
        <v>2</v>
      </c>
      <c r="K79" s="152">
        <f t="shared" si="16"/>
        <v>28</v>
      </c>
      <c r="L79" s="156">
        <f t="shared" si="17"/>
        <v>653.33333333333326</v>
      </c>
      <c r="M79" s="152">
        <v>44</v>
      </c>
      <c r="N79" s="156">
        <f t="shared" si="18"/>
        <v>160.41666666666666</v>
      </c>
      <c r="O79" s="152">
        <v>28</v>
      </c>
      <c r="P79" s="156">
        <f t="shared" si="25"/>
        <v>102.08333333333331</v>
      </c>
      <c r="Q79" s="152">
        <v>0</v>
      </c>
      <c r="R79" s="156">
        <f t="shared" si="19"/>
        <v>0</v>
      </c>
      <c r="S79" s="156">
        <v>0</v>
      </c>
      <c r="T79" s="156">
        <f t="shared" si="20"/>
        <v>0</v>
      </c>
      <c r="U79" s="152">
        <f t="shared" si="21"/>
        <v>28</v>
      </c>
      <c r="V79" s="156">
        <f>G79/I79*U79</f>
        <v>186.66666666666669</v>
      </c>
      <c r="W79" s="156">
        <v>0</v>
      </c>
      <c r="X79" s="152">
        <f t="shared" si="15"/>
        <v>0</v>
      </c>
      <c r="Y79" s="156">
        <f t="shared" si="22"/>
        <v>186.66666666666669</v>
      </c>
      <c r="Z79" s="154">
        <v>0</v>
      </c>
      <c r="AA79" s="154"/>
      <c r="AB79" s="157">
        <f t="shared" si="23"/>
        <v>1289.1666666666667</v>
      </c>
      <c r="AC79" s="154"/>
      <c r="AD79" s="154"/>
      <c r="AE79" s="156">
        <v>840</v>
      </c>
      <c r="AF79" s="160">
        <f t="shared" si="26"/>
        <v>449.16666666666674</v>
      </c>
    </row>
    <row r="80" spans="1:32" s="22" customFormat="1" ht="24.95" customHeight="1" x14ac:dyDescent="0.25">
      <c r="A80" s="152">
        <f t="shared" si="27"/>
        <v>78</v>
      </c>
      <c r="B80" s="152" t="s">
        <v>214</v>
      </c>
      <c r="C80" s="161" t="s">
        <v>420</v>
      </c>
      <c r="D80" s="154">
        <v>900</v>
      </c>
      <c r="E80" s="155">
        <v>700</v>
      </c>
      <c r="F80" s="156">
        <v>200</v>
      </c>
      <c r="G80" s="156">
        <v>200</v>
      </c>
      <c r="H80" s="157">
        <f t="shared" si="24"/>
        <v>1100</v>
      </c>
      <c r="I80" s="152">
        <v>30</v>
      </c>
      <c r="J80" s="158">
        <v>0</v>
      </c>
      <c r="K80" s="152">
        <f t="shared" si="16"/>
        <v>30</v>
      </c>
      <c r="L80" s="156">
        <f t="shared" si="17"/>
        <v>700</v>
      </c>
      <c r="M80" s="152">
        <v>48</v>
      </c>
      <c r="N80" s="156">
        <f t="shared" si="18"/>
        <v>175</v>
      </c>
      <c r="O80" s="152">
        <v>32</v>
      </c>
      <c r="P80" s="156">
        <f t="shared" si="25"/>
        <v>116.66666666666666</v>
      </c>
      <c r="Q80" s="152">
        <v>9</v>
      </c>
      <c r="R80" s="156">
        <f t="shared" si="19"/>
        <v>39.375</v>
      </c>
      <c r="S80" s="156">
        <v>0</v>
      </c>
      <c r="T80" s="156">
        <f t="shared" si="20"/>
        <v>0</v>
      </c>
      <c r="U80" s="152">
        <f t="shared" si="21"/>
        <v>30</v>
      </c>
      <c r="V80" s="156">
        <f>G80/I80*U80</f>
        <v>200</v>
      </c>
      <c r="W80" s="156">
        <v>0</v>
      </c>
      <c r="X80" s="152">
        <f t="shared" si="15"/>
        <v>0</v>
      </c>
      <c r="Y80" s="156">
        <f t="shared" si="22"/>
        <v>200</v>
      </c>
      <c r="Z80" s="154">
        <v>0</v>
      </c>
      <c r="AA80" s="164"/>
      <c r="AB80" s="157">
        <f t="shared" si="23"/>
        <v>1431.0416666666665</v>
      </c>
      <c r="AC80" s="164"/>
      <c r="AD80" s="164"/>
      <c r="AE80" s="156">
        <v>900</v>
      </c>
      <c r="AF80" s="160">
        <f t="shared" si="26"/>
        <v>531.04166666666652</v>
      </c>
    </row>
    <row r="81" spans="1:32" s="22" customFormat="1" ht="24.95" customHeight="1" x14ac:dyDescent="0.25">
      <c r="A81" s="152">
        <f t="shared" si="27"/>
        <v>79</v>
      </c>
      <c r="B81" s="152" t="s">
        <v>216</v>
      </c>
      <c r="C81" s="161" t="s">
        <v>217</v>
      </c>
      <c r="D81" s="154">
        <v>900</v>
      </c>
      <c r="E81" s="155">
        <v>700</v>
      </c>
      <c r="F81" s="156">
        <v>200</v>
      </c>
      <c r="G81" s="156">
        <v>200</v>
      </c>
      <c r="H81" s="157">
        <f t="shared" si="24"/>
        <v>1100</v>
      </c>
      <c r="I81" s="152">
        <v>30</v>
      </c>
      <c r="J81" s="158">
        <v>0</v>
      </c>
      <c r="K81" s="152">
        <f t="shared" si="16"/>
        <v>30</v>
      </c>
      <c r="L81" s="156">
        <f t="shared" si="17"/>
        <v>700</v>
      </c>
      <c r="M81" s="152">
        <v>48</v>
      </c>
      <c r="N81" s="156">
        <f t="shared" si="18"/>
        <v>175</v>
      </c>
      <c r="O81" s="152">
        <v>58.5</v>
      </c>
      <c r="P81" s="156">
        <f t="shared" si="25"/>
        <v>213.28125</v>
      </c>
      <c r="Q81" s="152">
        <v>24</v>
      </c>
      <c r="R81" s="156">
        <f t="shared" si="19"/>
        <v>105</v>
      </c>
      <c r="S81" s="156">
        <v>0</v>
      </c>
      <c r="T81" s="156">
        <f t="shared" si="20"/>
        <v>0</v>
      </c>
      <c r="U81" s="152">
        <f t="shared" si="21"/>
        <v>30</v>
      </c>
      <c r="V81" s="156">
        <f>G81/I81*U81</f>
        <v>200</v>
      </c>
      <c r="W81" s="156">
        <v>0</v>
      </c>
      <c r="X81" s="152">
        <f t="shared" si="15"/>
        <v>0</v>
      </c>
      <c r="Y81" s="156">
        <f t="shared" si="22"/>
        <v>200</v>
      </c>
      <c r="Z81" s="154">
        <v>50</v>
      </c>
      <c r="AA81" s="154"/>
      <c r="AB81" s="157">
        <f t="shared" si="23"/>
        <v>1643.28125</v>
      </c>
      <c r="AC81" s="154"/>
      <c r="AD81" s="154"/>
      <c r="AE81" s="156">
        <v>900</v>
      </c>
      <c r="AF81" s="160">
        <f t="shared" si="26"/>
        <v>743.28125</v>
      </c>
    </row>
    <row r="82" spans="1:32" s="22" customFormat="1" ht="24.95" customHeight="1" x14ac:dyDescent="0.25">
      <c r="A82" s="152">
        <f t="shared" si="27"/>
        <v>80</v>
      </c>
      <c r="B82" s="152" t="s">
        <v>218</v>
      </c>
      <c r="C82" s="161" t="s">
        <v>219</v>
      </c>
      <c r="D82" s="154">
        <v>900</v>
      </c>
      <c r="E82" s="155">
        <v>700</v>
      </c>
      <c r="F82" s="156">
        <v>200</v>
      </c>
      <c r="G82" s="156">
        <v>200</v>
      </c>
      <c r="H82" s="157">
        <f t="shared" si="24"/>
        <v>1100</v>
      </c>
      <c r="I82" s="152">
        <v>30</v>
      </c>
      <c r="J82" s="158">
        <v>0</v>
      </c>
      <c r="K82" s="152">
        <f t="shared" si="16"/>
        <v>30</v>
      </c>
      <c r="L82" s="156">
        <f t="shared" si="17"/>
        <v>700</v>
      </c>
      <c r="M82" s="152">
        <v>50</v>
      </c>
      <c r="N82" s="156">
        <f t="shared" si="18"/>
        <v>182.29166666666666</v>
      </c>
      <c r="O82" s="152">
        <v>25</v>
      </c>
      <c r="P82" s="156">
        <f t="shared" si="25"/>
        <v>91.145833333333314</v>
      </c>
      <c r="Q82" s="152">
        <v>20</v>
      </c>
      <c r="R82" s="156">
        <f t="shared" si="19"/>
        <v>87.5</v>
      </c>
      <c r="S82" s="156">
        <v>11</v>
      </c>
      <c r="T82" s="156">
        <f t="shared" si="20"/>
        <v>80.208333333333314</v>
      </c>
      <c r="U82" s="152">
        <f t="shared" si="21"/>
        <v>30</v>
      </c>
      <c r="V82" s="156">
        <f>G82/I82*U82</f>
        <v>200</v>
      </c>
      <c r="W82" s="156">
        <v>0</v>
      </c>
      <c r="X82" s="152">
        <f t="shared" si="15"/>
        <v>0</v>
      </c>
      <c r="Y82" s="156">
        <f t="shared" si="22"/>
        <v>200</v>
      </c>
      <c r="Z82" s="154">
        <v>50</v>
      </c>
      <c r="AA82" s="154"/>
      <c r="AB82" s="157">
        <f t="shared" si="23"/>
        <v>1591.1458333333333</v>
      </c>
      <c r="AC82" s="154"/>
      <c r="AD82" s="154"/>
      <c r="AE82" s="156">
        <v>900</v>
      </c>
      <c r="AF82" s="160">
        <f t="shared" si="26"/>
        <v>691.14583333333326</v>
      </c>
    </row>
    <row r="83" spans="1:32" s="22" customFormat="1" ht="24.95" customHeight="1" x14ac:dyDescent="0.25">
      <c r="A83" s="152">
        <f t="shared" si="27"/>
        <v>81</v>
      </c>
      <c r="B83" s="152" t="s">
        <v>222</v>
      </c>
      <c r="C83" s="161" t="s">
        <v>534</v>
      </c>
      <c r="D83" s="154">
        <v>900</v>
      </c>
      <c r="E83" s="155">
        <v>700</v>
      </c>
      <c r="F83" s="156">
        <v>200</v>
      </c>
      <c r="G83" s="156">
        <v>200</v>
      </c>
      <c r="H83" s="157">
        <f t="shared" si="24"/>
        <v>1100</v>
      </c>
      <c r="I83" s="152">
        <v>30</v>
      </c>
      <c r="J83" s="158">
        <v>0</v>
      </c>
      <c r="K83" s="152">
        <f t="shared" si="16"/>
        <v>30</v>
      </c>
      <c r="L83" s="156">
        <f t="shared" si="17"/>
        <v>700</v>
      </c>
      <c r="M83" s="152">
        <v>50</v>
      </c>
      <c r="N83" s="156">
        <f t="shared" si="18"/>
        <v>182.29166666666666</v>
      </c>
      <c r="O83" s="152">
        <v>0</v>
      </c>
      <c r="P83" s="156">
        <f t="shared" si="25"/>
        <v>0</v>
      </c>
      <c r="Q83" s="152">
        <v>0</v>
      </c>
      <c r="R83" s="156">
        <f t="shared" si="19"/>
        <v>0</v>
      </c>
      <c r="S83" s="156">
        <v>0</v>
      </c>
      <c r="T83" s="156">
        <f t="shared" si="20"/>
        <v>0</v>
      </c>
      <c r="U83" s="152">
        <f t="shared" si="21"/>
        <v>30</v>
      </c>
      <c r="V83" s="163">
        <v>0</v>
      </c>
      <c r="W83" s="156">
        <v>0</v>
      </c>
      <c r="X83" s="152">
        <f t="shared" si="15"/>
        <v>0</v>
      </c>
      <c r="Y83" s="156">
        <f t="shared" si="22"/>
        <v>200</v>
      </c>
      <c r="Z83" s="154">
        <v>0</v>
      </c>
      <c r="AA83" s="164"/>
      <c r="AB83" s="157">
        <f t="shared" si="23"/>
        <v>1082.2916666666665</v>
      </c>
      <c r="AC83" s="164"/>
      <c r="AD83" s="164"/>
      <c r="AE83" s="156">
        <v>765</v>
      </c>
      <c r="AF83" s="160">
        <f t="shared" si="26"/>
        <v>317.29166666666652</v>
      </c>
    </row>
    <row r="84" spans="1:32" s="22" customFormat="1" ht="24.95" customHeight="1" x14ac:dyDescent="0.25">
      <c r="A84" s="152">
        <f t="shared" si="27"/>
        <v>82</v>
      </c>
      <c r="B84" s="152" t="s">
        <v>224</v>
      </c>
      <c r="C84" s="161" t="s">
        <v>225</v>
      </c>
      <c r="D84" s="154">
        <v>900</v>
      </c>
      <c r="E84" s="155">
        <v>700</v>
      </c>
      <c r="F84" s="156">
        <v>200</v>
      </c>
      <c r="G84" s="156">
        <v>200</v>
      </c>
      <c r="H84" s="157">
        <f t="shared" si="24"/>
        <v>1100</v>
      </c>
      <c r="I84" s="152">
        <v>30</v>
      </c>
      <c r="J84" s="158">
        <v>1</v>
      </c>
      <c r="K84" s="152">
        <f t="shared" si="16"/>
        <v>29</v>
      </c>
      <c r="L84" s="156">
        <f t="shared" si="17"/>
        <v>676.66666666666663</v>
      </c>
      <c r="M84" s="152">
        <v>48</v>
      </c>
      <c r="N84" s="156">
        <f t="shared" si="18"/>
        <v>175</v>
      </c>
      <c r="O84" s="152">
        <v>0</v>
      </c>
      <c r="P84" s="156">
        <f t="shared" si="25"/>
        <v>0</v>
      </c>
      <c r="Q84" s="152">
        <v>0</v>
      </c>
      <c r="R84" s="156">
        <f t="shared" si="19"/>
        <v>0</v>
      </c>
      <c r="S84" s="156">
        <v>0</v>
      </c>
      <c r="T84" s="156">
        <f t="shared" si="20"/>
        <v>0</v>
      </c>
      <c r="U84" s="152">
        <f t="shared" si="21"/>
        <v>29</v>
      </c>
      <c r="V84" s="163">
        <v>0</v>
      </c>
      <c r="W84" s="156">
        <v>0</v>
      </c>
      <c r="X84" s="152">
        <f t="shared" si="15"/>
        <v>0</v>
      </c>
      <c r="Y84" s="156">
        <f t="shared" si="22"/>
        <v>193.33333333333334</v>
      </c>
      <c r="Z84" s="154">
        <v>0</v>
      </c>
      <c r="AA84" s="154"/>
      <c r="AB84" s="157">
        <f t="shared" si="23"/>
        <v>1045</v>
      </c>
      <c r="AC84" s="154"/>
      <c r="AD84" s="154"/>
      <c r="AE84" s="156">
        <v>765</v>
      </c>
      <c r="AF84" s="160">
        <f t="shared" si="26"/>
        <v>280</v>
      </c>
    </row>
    <row r="85" spans="1:32" s="22" customFormat="1" ht="24.95" customHeight="1" x14ac:dyDescent="0.25">
      <c r="A85" s="152">
        <f t="shared" si="27"/>
        <v>83</v>
      </c>
      <c r="B85" s="152" t="s">
        <v>226</v>
      </c>
      <c r="C85" s="161" t="s">
        <v>227</v>
      </c>
      <c r="D85" s="154">
        <v>900</v>
      </c>
      <c r="E85" s="155">
        <v>700</v>
      </c>
      <c r="F85" s="156">
        <v>200</v>
      </c>
      <c r="G85" s="156">
        <v>200</v>
      </c>
      <c r="H85" s="157">
        <f t="shared" si="24"/>
        <v>1100</v>
      </c>
      <c r="I85" s="152">
        <v>30</v>
      </c>
      <c r="J85" s="158">
        <v>1</v>
      </c>
      <c r="K85" s="152">
        <f t="shared" si="16"/>
        <v>29</v>
      </c>
      <c r="L85" s="156">
        <f t="shared" si="17"/>
        <v>676.66666666666663</v>
      </c>
      <c r="M85" s="152">
        <v>46</v>
      </c>
      <c r="N85" s="156">
        <f t="shared" si="18"/>
        <v>167.70833333333331</v>
      </c>
      <c r="O85" s="152">
        <v>28</v>
      </c>
      <c r="P85" s="156">
        <f t="shared" si="25"/>
        <v>102.08333333333331</v>
      </c>
      <c r="Q85" s="152">
        <v>16.5</v>
      </c>
      <c r="R85" s="156">
        <f t="shared" si="19"/>
        <v>72.1875</v>
      </c>
      <c r="S85" s="156">
        <v>0</v>
      </c>
      <c r="T85" s="156">
        <f t="shared" si="20"/>
        <v>0</v>
      </c>
      <c r="U85" s="152">
        <f t="shared" si="21"/>
        <v>29</v>
      </c>
      <c r="V85" s="156">
        <f t="shared" ref="V85:V94" si="28">G85/I85*U85</f>
        <v>193.33333333333334</v>
      </c>
      <c r="W85" s="156">
        <v>0</v>
      </c>
      <c r="X85" s="152">
        <f t="shared" si="15"/>
        <v>0</v>
      </c>
      <c r="Y85" s="156">
        <f t="shared" si="22"/>
        <v>193.33333333333334</v>
      </c>
      <c r="Z85" s="154">
        <v>25</v>
      </c>
      <c r="AA85" s="154"/>
      <c r="AB85" s="157">
        <f t="shared" si="23"/>
        <v>1430.3124999999998</v>
      </c>
      <c r="AC85" s="154"/>
      <c r="AD85" s="154"/>
      <c r="AE85" s="156">
        <v>840</v>
      </c>
      <c r="AF85" s="160">
        <f t="shared" si="26"/>
        <v>590.31249999999977</v>
      </c>
    </row>
    <row r="86" spans="1:32" ht="24.95" customHeight="1" x14ac:dyDescent="0.25">
      <c r="A86" s="152">
        <f t="shared" si="27"/>
        <v>84</v>
      </c>
      <c r="B86" s="152" t="s">
        <v>230</v>
      </c>
      <c r="C86" s="161" t="s">
        <v>231</v>
      </c>
      <c r="D86" s="154">
        <v>900</v>
      </c>
      <c r="E86" s="155">
        <v>700</v>
      </c>
      <c r="F86" s="156">
        <v>200</v>
      </c>
      <c r="G86" s="156">
        <v>200</v>
      </c>
      <c r="H86" s="157">
        <f t="shared" si="24"/>
        <v>1100</v>
      </c>
      <c r="I86" s="152">
        <v>30</v>
      </c>
      <c r="J86" s="158">
        <v>0</v>
      </c>
      <c r="K86" s="152">
        <f t="shared" si="16"/>
        <v>30</v>
      </c>
      <c r="L86" s="156">
        <f t="shared" si="17"/>
        <v>700</v>
      </c>
      <c r="M86" s="152">
        <v>50</v>
      </c>
      <c r="N86" s="156">
        <f t="shared" si="18"/>
        <v>182.29166666666666</v>
      </c>
      <c r="O86" s="152">
        <v>0</v>
      </c>
      <c r="P86" s="156">
        <f t="shared" si="25"/>
        <v>0</v>
      </c>
      <c r="Q86" s="152">
        <v>0</v>
      </c>
      <c r="R86" s="156">
        <f t="shared" si="19"/>
        <v>0</v>
      </c>
      <c r="S86" s="156">
        <v>0</v>
      </c>
      <c r="T86" s="156">
        <f t="shared" si="20"/>
        <v>0</v>
      </c>
      <c r="U86" s="152">
        <f t="shared" si="21"/>
        <v>30</v>
      </c>
      <c r="V86" s="156">
        <f t="shared" si="28"/>
        <v>200</v>
      </c>
      <c r="W86" s="156">
        <v>0</v>
      </c>
      <c r="X86" s="152">
        <f t="shared" si="15"/>
        <v>0</v>
      </c>
      <c r="Y86" s="156">
        <f t="shared" si="22"/>
        <v>200</v>
      </c>
      <c r="Z86" s="154">
        <v>0</v>
      </c>
      <c r="AA86" s="154"/>
      <c r="AB86" s="157">
        <f t="shared" si="23"/>
        <v>1282.2916666666665</v>
      </c>
      <c r="AC86" s="154"/>
      <c r="AD86" s="159"/>
      <c r="AE86" s="156">
        <v>900</v>
      </c>
      <c r="AF86" s="160">
        <f t="shared" si="26"/>
        <v>382.29166666666652</v>
      </c>
    </row>
    <row r="87" spans="1:32" ht="24.95" customHeight="1" x14ac:dyDescent="0.25">
      <c r="A87" s="152">
        <f t="shared" si="27"/>
        <v>85</v>
      </c>
      <c r="B87" s="152" t="s">
        <v>232</v>
      </c>
      <c r="C87" s="161" t="s">
        <v>233</v>
      </c>
      <c r="D87" s="154">
        <v>900</v>
      </c>
      <c r="E87" s="155">
        <v>700</v>
      </c>
      <c r="F87" s="156">
        <v>200</v>
      </c>
      <c r="G87" s="156">
        <v>200</v>
      </c>
      <c r="H87" s="157">
        <f t="shared" si="24"/>
        <v>1100</v>
      </c>
      <c r="I87" s="152">
        <v>30</v>
      </c>
      <c r="J87" s="158">
        <v>0</v>
      </c>
      <c r="K87" s="152">
        <f t="shared" si="16"/>
        <v>30</v>
      </c>
      <c r="L87" s="156">
        <f t="shared" si="17"/>
        <v>700</v>
      </c>
      <c r="M87" s="152">
        <v>50</v>
      </c>
      <c r="N87" s="156">
        <f t="shared" si="18"/>
        <v>182.29166666666666</v>
      </c>
      <c r="O87" s="152">
        <v>25</v>
      </c>
      <c r="P87" s="156">
        <f t="shared" si="25"/>
        <v>91.145833333333314</v>
      </c>
      <c r="Q87" s="152">
        <v>32</v>
      </c>
      <c r="R87" s="156">
        <f t="shared" si="19"/>
        <v>140</v>
      </c>
      <c r="S87" s="156">
        <v>0</v>
      </c>
      <c r="T87" s="156">
        <f t="shared" si="20"/>
        <v>0</v>
      </c>
      <c r="U87" s="152">
        <f t="shared" si="21"/>
        <v>30</v>
      </c>
      <c r="V87" s="156">
        <f t="shared" si="28"/>
        <v>200</v>
      </c>
      <c r="W87" s="156">
        <v>0</v>
      </c>
      <c r="X87" s="152">
        <f t="shared" si="15"/>
        <v>0</v>
      </c>
      <c r="Y87" s="156">
        <f t="shared" si="22"/>
        <v>200</v>
      </c>
      <c r="Z87" s="154">
        <v>50</v>
      </c>
      <c r="AA87" s="154"/>
      <c r="AB87" s="157">
        <f t="shared" si="23"/>
        <v>1563.4375</v>
      </c>
      <c r="AC87" s="154"/>
      <c r="AD87" s="154"/>
      <c r="AE87" s="156">
        <v>900</v>
      </c>
      <c r="AF87" s="160">
        <f t="shared" si="26"/>
        <v>663.4375</v>
      </c>
    </row>
    <row r="88" spans="1:32" ht="24.95" customHeight="1" x14ac:dyDescent="0.25">
      <c r="A88" s="152">
        <f t="shared" si="27"/>
        <v>86</v>
      </c>
      <c r="B88" s="152" t="s">
        <v>238</v>
      </c>
      <c r="C88" s="161" t="s">
        <v>239</v>
      </c>
      <c r="D88" s="154">
        <v>900</v>
      </c>
      <c r="E88" s="155">
        <v>700</v>
      </c>
      <c r="F88" s="156">
        <v>200</v>
      </c>
      <c r="G88" s="156">
        <v>200</v>
      </c>
      <c r="H88" s="157">
        <f t="shared" si="24"/>
        <v>1100</v>
      </c>
      <c r="I88" s="152">
        <v>30</v>
      </c>
      <c r="J88" s="158">
        <v>0</v>
      </c>
      <c r="K88" s="152">
        <f t="shared" si="16"/>
        <v>30</v>
      </c>
      <c r="L88" s="156">
        <f t="shared" si="17"/>
        <v>700</v>
      </c>
      <c r="M88" s="152">
        <v>50</v>
      </c>
      <c r="N88" s="156">
        <f t="shared" si="18"/>
        <v>182.29166666666666</v>
      </c>
      <c r="O88" s="152">
        <v>62.5</v>
      </c>
      <c r="P88" s="156">
        <f t="shared" si="25"/>
        <v>227.86458333333331</v>
      </c>
      <c r="Q88" s="152">
        <v>30.5</v>
      </c>
      <c r="R88" s="156">
        <f t="shared" si="19"/>
        <v>133.4375</v>
      </c>
      <c r="S88" s="156">
        <v>6</v>
      </c>
      <c r="T88" s="156">
        <f t="shared" si="20"/>
        <v>43.75</v>
      </c>
      <c r="U88" s="152">
        <f t="shared" si="21"/>
        <v>30</v>
      </c>
      <c r="V88" s="156">
        <f t="shared" si="28"/>
        <v>200</v>
      </c>
      <c r="W88" s="156">
        <v>0</v>
      </c>
      <c r="X88" s="152">
        <f t="shared" si="15"/>
        <v>0</v>
      </c>
      <c r="Y88" s="156">
        <f t="shared" si="22"/>
        <v>200</v>
      </c>
      <c r="Z88" s="154">
        <v>50</v>
      </c>
      <c r="AA88" s="154"/>
      <c r="AB88" s="157">
        <f t="shared" si="23"/>
        <v>1737.34375</v>
      </c>
      <c r="AC88" s="154"/>
      <c r="AD88" s="159"/>
      <c r="AE88" s="156">
        <v>900</v>
      </c>
      <c r="AF88" s="160">
        <f t="shared" si="26"/>
        <v>837.34375</v>
      </c>
    </row>
    <row r="89" spans="1:32" ht="24.95" customHeight="1" x14ac:dyDescent="0.25">
      <c r="A89" s="152">
        <f t="shared" si="27"/>
        <v>87</v>
      </c>
      <c r="B89" s="152" t="s">
        <v>254</v>
      </c>
      <c r="C89" s="161" t="s">
        <v>255</v>
      </c>
      <c r="D89" s="154"/>
      <c r="E89" s="155">
        <v>700</v>
      </c>
      <c r="F89" s="156">
        <v>100</v>
      </c>
      <c r="G89" s="156">
        <v>200</v>
      </c>
      <c r="H89" s="157">
        <f t="shared" si="24"/>
        <v>1000</v>
      </c>
      <c r="I89" s="152">
        <v>30</v>
      </c>
      <c r="J89" s="158">
        <v>0</v>
      </c>
      <c r="K89" s="152">
        <f t="shared" si="16"/>
        <v>30</v>
      </c>
      <c r="L89" s="156">
        <f t="shared" si="17"/>
        <v>700</v>
      </c>
      <c r="M89" s="152">
        <v>48</v>
      </c>
      <c r="N89" s="156">
        <f t="shared" si="18"/>
        <v>175</v>
      </c>
      <c r="O89" s="152">
        <v>27</v>
      </c>
      <c r="P89" s="156">
        <f t="shared" si="25"/>
        <v>98.4375</v>
      </c>
      <c r="Q89" s="152">
        <v>9</v>
      </c>
      <c r="R89" s="156">
        <f t="shared" si="19"/>
        <v>39.375</v>
      </c>
      <c r="S89" s="156">
        <v>0</v>
      </c>
      <c r="T89" s="156">
        <f t="shared" si="20"/>
        <v>0</v>
      </c>
      <c r="U89" s="152">
        <f t="shared" si="21"/>
        <v>30</v>
      </c>
      <c r="V89" s="156">
        <f t="shared" si="28"/>
        <v>200</v>
      </c>
      <c r="W89" s="156">
        <v>0</v>
      </c>
      <c r="X89" s="152">
        <f t="shared" si="15"/>
        <v>0</v>
      </c>
      <c r="Y89" s="156">
        <f t="shared" si="22"/>
        <v>100</v>
      </c>
      <c r="Z89" s="154">
        <v>0</v>
      </c>
      <c r="AA89" s="154"/>
      <c r="AB89" s="157">
        <f t="shared" si="23"/>
        <v>1312.8125</v>
      </c>
      <c r="AC89" s="154"/>
      <c r="AD89" s="154"/>
      <c r="AE89" s="156">
        <v>677</v>
      </c>
      <c r="AF89" s="160">
        <f t="shared" si="26"/>
        <v>635.8125</v>
      </c>
    </row>
    <row r="90" spans="1:32" ht="24.95" customHeight="1" x14ac:dyDescent="0.25">
      <c r="A90" s="152">
        <f t="shared" si="27"/>
        <v>88</v>
      </c>
      <c r="B90" s="152" t="s">
        <v>258</v>
      </c>
      <c r="C90" s="161" t="s">
        <v>259</v>
      </c>
      <c r="D90" s="154"/>
      <c r="E90" s="155">
        <v>700</v>
      </c>
      <c r="F90" s="156">
        <v>100</v>
      </c>
      <c r="G90" s="156">
        <v>200</v>
      </c>
      <c r="H90" s="157">
        <f t="shared" si="24"/>
        <v>1000</v>
      </c>
      <c r="I90" s="152">
        <v>30</v>
      </c>
      <c r="J90" s="158">
        <v>0</v>
      </c>
      <c r="K90" s="152">
        <f t="shared" si="16"/>
        <v>30</v>
      </c>
      <c r="L90" s="156">
        <f t="shared" si="17"/>
        <v>700</v>
      </c>
      <c r="M90" s="152">
        <v>46</v>
      </c>
      <c r="N90" s="156">
        <f t="shared" si="18"/>
        <v>167.70833333333331</v>
      </c>
      <c r="O90" s="152">
        <v>29</v>
      </c>
      <c r="P90" s="156">
        <f t="shared" si="25"/>
        <v>105.72916666666666</v>
      </c>
      <c r="Q90" s="152">
        <v>18</v>
      </c>
      <c r="R90" s="156">
        <f t="shared" si="19"/>
        <v>78.75</v>
      </c>
      <c r="S90" s="156">
        <v>0</v>
      </c>
      <c r="T90" s="156">
        <f t="shared" si="20"/>
        <v>0</v>
      </c>
      <c r="U90" s="152">
        <f t="shared" si="21"/>
        <v>30</v>
      </c>
      <c r="V90" s="156">
        <f t="shared" si="28"/>
        <v>200</v>
      </c>
      <c r="W90" s="156">
        <v>0</v>
      </c>
      <c r="X90" s="152">
        <f t="shared" si="15"/>
        <v>0</v>
      </c>
      <c r="Y90" s="156">
        <f t="shared" si="22"/>
        <v>100</v>
      </c>
      <c r="Z90" s="154">
        <v>0</v>
      </c>
      <c r="AA90" s="154"/>
      <c r="AB90" s="157">
        <f t="shared" si="23"/>
        <v>1352.1875</v>
      </c>
      <c r="AC90" s="154"/>
      <c r="AD90" s="154"/>
      <c r="AE90" s="156">
        <v>700</v>
      </c>
      <c r="AF90" s="160">
        <f t="shared" si="26"/>
        <v>652.1875</v>
      </c>
    </row>
    <row r="91" spans="1:32" ht="24.95" customHeight="1" x14ac:dyDescent="0.25">
      <c r="A91" s="152">
        <f t="shared" si="27"/>
        <v>89</v>
      </c>
      <c r="B91" s="152" t="s">
        <v>264</v>
      </c>
      <c r="C91" s="161" t="s">
        <v>265</v>
      </c>
      <c r="D91" s="154"/>
      <c r="E91" s="155">
        <v>700</v>
      </c>
      <c r="F91" s="156">
        <v>100</v>
      </c>
      <c r="G91" s="156">
        <v>200</v>
      </c>
      <c r="H91" s="157">
        <f t="shared" si="24"/>
        <v>1000</v>
      </c>
      <c r="I91" s="152">
        <v>30</v>
      </c>
      <c r="J91" s="158">
        <v>0</v>
      </c>
      <c r="K91" s="152">
        <f t="shared" si="16"/>
        <v>30</v>
      </c>
      <c r="L91" s="156">
        <f t="shared" si="17"/>
        <v>700</v>
      </c>
      <c r="M91" s="152">
        <v>48</v>
      </c>
      <c r="N91" s="156">
        <f t="shared" si="18"/>
        <v>175</v>
      </c>
      <c r="O91" s="152">
        <v>26</v>
      </c>
      <c r="P91" s="156">
        <f t="shared" si="25"/>
        <v>94.791666666666657</v>
      </c>
      <c r="Q91" s="152">
        <v>24</v>
      </c>
      <c r="R91" s="156">
        <f t="shared" si="19"/>
        <v>105</v>
      </c>
      <c r="S91" s="156">
        <v>11</v>
      </c>
      <c r="T91" s="156">
        <f t="shared" si="20"/>
        <v>80.208333333333314</v>
      </c>
      <c r="U91" s="152">
        <f t="shared" si="21"/>
        <v>30</v>
      </c>
      <c r="V91" s="156">
        <f t="shared" si="28"/>
        <v>200</v>
      </c>
      <c r="W91" s="156">
        <v>0</v>
      </c>
      <c r="X91" s="152">
        <f t="shared" si="15"/>
        <v>0</v>
      </c>
      <c r="Y91" s="156">
        <f t="shared" si="22"/>
        <v>100</v>
      </c>
      <c r="Z91" s="154">
        <v>50</v>
      </c>
      <c r="AA91" s="154"/>
      <c r="AB91" s="157">
        <f t="shared" si="23"/>
        <v>1504.9999999999998</v>
      </c>
      <c r="AC91" s="154"/>
      <c r="AD91" s="154"/>
      <c r="AE91" s="156">
        <v>700</v>
      </c>
      <c r="AF91" s="160">
        <f t="shared" si="26"/>
        <v>804.99999999999977</v>
      </c>
    </row>
    <row r="92" spans="1:32" ht="24.95" customHeight="1" x14ac:dyDescent="0.25">
      <c r="A92" s="152">
        <f t="shared" si="27"/>
        <v>90</v>
      </c>
      <c r="B92" s="152" t="s">
        <v>266</v>
      </c>
      <c r="C92" s="161" t="s">
        <v>267</v>
      </c>
      <c r="D92" s="154"/>
      <c r="E92" s="155">
        <v>700</v>
      </c>
      <c r="F92" s="156">
        <v>100</v>
      </c>
      <c r="G92" s="156">
        <v>200</v>
      </c>
      <c r="H92" s="157">
        <f t="shared" si="24"/>
        <v>1000</v>
      </c>
      <c r="I92" s="152">
        <v>30</v>
      </c>
      <c r="J92" s="158">
        <v>0</v>
      </c>
      <c r="K92" s="152">
        <f t="shared" si="16"/>
        <v>30</v>
      </c>
      <c r="L92" s="156">
        <f t="shared" si="17"/>
        <v>700</v>
      </c>
      <c r="M92" s="152">
        <v>48</v>
      </c>
      <c r="N92" s="156">
        <f t="shared" si="18"/>
        <v>175</v>
      </c>
      <c r="O92" s="152">
        <v>32</v>
      </c>
      <c r="P92" s="156">
        <f t="shared" si="25"/>
        <v>116.66666666666666</v>
      </c>
      <c r="Q92" s="152">
        <f>25+8</f>
        <v>33</v>
      </c>
      <c r="R92" s="156">
        <f t="shared" si="19"/>
        <v>144.375</v>
      </c>
      <c r="S92" s="156">
        <v>11</v>
      </c>
      <c r="T92" s="156">
        <f t="shared" si="20"/>
        <v>80.208333333333314</v>
      </c>
      <c r="U92" s="152">
        <f t="shared" si="21"/>
        <v>30</v>
      </c>
      <c r="V92" s="156">
        <f t="shared" si="28"/>
        <v>200</v>
      </c>
      <c r="W92" s="156">
        <v>0</v>
      </c>
      <c r="X92" s="152">
        <f t="shared" si="15"/>
        <v>0</v>
      </c>
      <c r="Y92" s="156">
        <f t="shared" si="22"/>
        <v>100</v>
      </c>
      <c r="Z92" s="154">
        <v>50</v>
      </c>
      <c r="AA92" s="154"/>
      <c r="AB92" s="157">
        <f t="shared" si="23"/>
        <v>1566.2499999999998</v>
      </c>
      <c r="AC92" s="154"/>
      <c r="AD92" s="154"/>
      <c r="AE92" s="156">
        <v>700</v>
      </c>
      <c r="AF92" s="160">
        <f t="shared" si="26"/>
        <v>866.24999999999977</v>
      </c>
    </row>
    <row r="93" spans="1:32" ht="24.95" customHeight="1" x14ac:dyDescent="0.25">
      <c r="A93" s="152">
        <f t="shared" si="27"/>
        <v>91</v>
      </c>
      <c r="B93" s="152" t="s">
        <v>268</v>
      </c>
      <c r="C93" s="161" t="s">
        <v>269</v>
      </c>
      <c r="D93" s="154"/>
      <c r="E93" s="155">
        <v>700</v>
      </c>
      <c r="F93" s="156">
        <v>100</v>
      </c>
      <c r="G93" s="156">
        <v>200</v>
      </c>
      <c r="H93" s="157">
        <f t="shared" si="24"/>
        <v>1000</v>
      </c>
      <c r="I93" s="152">
        <v>30</v>
      </c>
      <c r="J93" s="158">
        <v>0</v>
      </c>
      <c r="K93" s="152">
        <f t="shared" si="16"/>
        <v>30</v>
      </c>
      <c r="L93" s="156">
        <f t="shared" si="17"/>
        <v>700</v>
      </c>
      <c r="M93" s="152">
        <v>50</v>
      </c>
      <c r="N93" s="156">
        <f t="shared" si="18"/>
        <v>182.29166666666666</v>
      </c>
      <c r="O93" s="152">
        <v>70.5</v>
      </c>
      <c r="P93" s="156">
        <f t="shared" si="25"/>
        <v>257.03125</v>
      </c>
      <c r="Q93" s="152">
        <v>31</v>
      </c>
      <c r="R93" s="156">
        <f t="shared" si="19"/>
        <v>135.625</v>
      </c>
      <c r="S93" s="156">
        <v>9.5</v>
      </c>
      <c r="T93" s="156">
        <f t="shared" si="20"/>
        <v>69.270833333333329</v>
      </c>
      <c r="U93" s="152">
        <f t="shared" si="21"/>
        <v>30</v>
      </c>
      <c r="V93" s="156">
        <f t="shared" si="28"/>
        <v>200</v>
      </c>
      <c r="W93" s="156">
        <v>0</v>
      </c>
      <c r="X93" s="152">
        <f t="shared" si="15"/>
        <v>0</v>
      </c>
      <c r="Y93" s="156">
        <f t="shared" si="22"/>
        <v>100</v>
      </c>
      <c r="Z93" s="154">
        <v>50</v>
      </c>
      <c r="AA93" s="154"/>
      <c r="AB93" s="157">
        <f t="shared" si="23"/>
        <v>1694.2187499999998</v>
      </c>
      <c r="AC93" s="154"/>
      <c r="AD93" s="154"/>
      <c r="AE93" s="156">
        <v>700</v>
      </c>
      <c r="AF93" s="160">
        <f t="shared" si="26"/>
        <v>994.21874999999977</v>
      </c>
    </row>
    <row r="94" spans="1:32" ht="24.95" customHeight="1" x14ac:dyDescent="0.25">
      <c r="A94" s="152">
        <f t="shared" si="27"/>
        <v>92</v>
      </c>
      <c r="B94" s="152" t="s">
        <v>274</v>
      </c>
      <c r="C94" s="161" t="s">
        <v>275</v>
      </c>
      <c r="D94" s="154"/>
      <c r="E94" s="155">
        <v>700</v>
      </c>
      <c r="F94" s="156">
        <v>100</v>
      </c>
      <c r="G94" s="156">
        <v>200</v>
      </c>
      <c r="H94" s="157">
        <f t="shared" si="24"/>
        <v>1000</v>
      </c>
      <c r="I94" s="152">
        <v>30</v>
      </c>
      <c r="J94" s="158">
        <v>0</v>
      </c>
      <c r="K94" s="152">
        <f t="shared" si="16"/>
        <v>30</v>
      </c>
      <c r="L94" s="156">
        <f t="shared" si="17"/>
        <v>700</v>
      </c>
      <c r="M94" s="152">
        <v>50</v>
      </c>
      <c r="N94" s="156">
        <f t="shared" si="18"/>
        <v>182.29166666666666</v>
      </c>
      <c r="O94" s="152">
        <v>25</v>
      </c>
      <c r="P94" s="156">
        <f t="shared" si="25"/>
        <v>91.145833333333314</v>
      </c>
      <c r="Q94" s="152">
        <v>16</v>
      </c>
      <c r="R94" s="156">
        <f t="shared" si="19"/>
        <v>70</v>
      </c>
      <c r="S94" s="156">
        <v>11</v>
      </c>
      <c r="T94" s="156">
        <f t="shared" si="20"/>
        <v>80.208333333333314</v>
      </c>
      <c r="U94" s="152">
        <f t="shared" si="21"/>
        <v>30</v>
      </c>
      <c r="V94" s="156">
        <f t="shared" si="28"/>
        <v>200</v>
      </c>
      <c r="W94" s="156">
        <v>0</v>
      </c>
      <c r="X94" s="152">
        <f t="shared" si="15"/>
        <v>0</v>
      </c>
      <c r="Y94" s="156">
        <f t="shared" si="22"/>
        <v>100</v>
      </c>
      <c r="Z94" s="154">
        <v>25</v>
      </c>
      <c r="AA94" s="154"/>
      <c r="AB94" s="157">
        <f t="shared" si="23"/>
        <v>1448.6458333333333</v>
      </c>
      <c r="AC94" s="154"/>
      <c r="AD94" s="154"/>
      <c r="AE94" s="156">
        <v>700</v>
      </c>
      <c r="AF94" s="160">
        <f t="shared" si="26"/>
        <v>748.64583333333326</v>
      </c>
    </row>
    <row r="95" spans="1:32" ht="24.95" customHeight="1" x14ac:dyDescent="0.25">
      <c r="A95" s="152">
        <f t="shared" si="27"/>
        <v>93</v>
      </c>
      <c r="B95" s="152" t="s">
        <v>278</v>
      </c>
      <c r="C95" s="153" t="s">
        <v>279</v>
      </c>
      <c r="D95" s="154"/>
      <c r="E95" s="155">
        <v>700</v>
      </c>
      <c r="F95" s="156">
        <v>100</v>
      </c>
      <c r="G95" s="156">
        <v>200</v>
      </c>
      <c r="H95" s="157">
        <f t="shared" si="24"/>
        <v>1000</v>
      </c>
      <c r="I95" s="152">
        <v>30</v>
      </c>
      <c r="J95" s="158">
        <v>9</v>
      </c>
      <c r="K95" s="152">
        <f t="shared" si="16"/>
        <v>21</v>
      </c>
      <c r="L95" s="156">
        <f t="shared" si="17"/>
        <v>490</v>
      </c>
      <c r="M95" s="152">
        <v>32</v>
      </c>
      <c r="N95" s="156">
        <f t="shared" si="18"/>
        <v>116.66666666666666</v>
      </c>
      <c r="O95" s="152">
        <v>0</v>
      </c>
      <c r="P95" s="156">
        <f t="shared" si="25"/>
        <v>0</v>
      </c>
      <c r="Q95" s="152">
        <v>0</v>
      </c>
      <c r="R95" s="156">
        <f t="shared" si="19"/>
        <v>0</v>
      </c>
      <c r="S95" s="156">
        <v>0</v>
      </c>
      <c r="T95" s="156">
        <f t="shared" si="20"/>
        <v>0</v>
      </c>
      <c r="U95" s="152">
        <f t="shared" si="21"/>
        <v>21</v>
      </c>
      <c r="V95" s="163">
        <v>0</v>
      </c>
      <c r="W95" s="156">
        <v>0</v>
      </c>
      <c r="X95" s="152">
        <f t="shared" si="15"/>
        <v>0</v>
      </c>
      <c r="Y95" s="156">
        <f t="shared" si="22"/>
        <v>70</v>
      </c>
      <c r="Z95" s="154">
        <v>0</v>
      </c>
      <c r="AA95" s="169">
        <v>200</v>
      </c>
      <c r="AB95" s="157">
        <f t="shared" si="23"/>
        <v>476.66666666666663</v>
      </c>
      <c r="AC95" s="154"/>
      <c r="AD95" s="159" t="s">
        <v>559</v>
      </c>
      <c r="AE95" s="156">
        <v>700</v>
      </c>
      <c r="AF95" s="160">
        <v>0</v>
      </c>
    </row>
    <row r="96" spans="1:32" ht="24.95" customHeight="1" x14ac:dyDescent="0.25">
      <c r="A96" s="152">
        <f>A95+1</f>
        <v>94</v>
      </c>
      <c r="B96" s="152" t="s">
        <v>280</v>
      </c>
      <c r="C96" s="153" t="s">
        <v>281</v>
      </c>
      <c r="D96" s="154"/>
      <c r="E96" s="155">
        <v>700</v>
      </c>
      <c r="F96" s="156">
        <v>100</v>
      </c>
      <c r="G96" s="156">
        <v>200</v>
      </c>
      <c r="H96" s="157">
        <f t="shared" si="24"/>
        <v>1000</v>
      </c>
      <c r="I96" s="152">
        <v>30</v>
      </c>
      <c r="J96" s="158">
        <v>0</v>
      </c>
      <c r="K96" s="152">
        <f t="shared" si="16"/>
        <v>30</v>
      </c>
      <c r="L96" s="156">
        <f t="shared" si="17"/>
        <v>700</v>
      </c>
      <c r="M96" s="152">
        <v>50</v>
      </c>
      <c r="N96" s="156">
        <f t="shared" si="18"/>
        <v>182.29166666666666</v>
      </c>
      <c r="O96" s="152">
        <v>13</v>
      </c>
      <c r="P96" s="156">
        <f t="shared" si="25"/>
        <v>47.395833333333329</v>
      </c>
      <c r="Q96" s="152">
        <v>6.5</v>
      </c>
      <c r="R96" s="156">
        <f t="shared" si="19"/>
        <v>28.4375</v>
      </c>
      <c r="S96" s="156">
        <v>11</v>
      </c>
      <c r="T96" s="156">
        <f t="shared" si="20"/>
        <v>80.208333333333314</v>
      </c>
      <c r="U96" s="152">
        <f t="shared" si="21"/>
        <v>30</v>
      </c>
      <c r="V96" s="156">
        <f>G96/I96*U96</f>
        <v>200</v>
      </c>
      <c r="W96" s="156">
        <v>0</v>
      </c>
      <c r="X96" s="152">
        <f t="shared" si="15"/>
        <v>0</v>
      </c>
      <c r="Y96" s="156">
        <f t="shared" si="22"/>
        <v>100</v>
      </c>
      <c r="Z96" s="154">
        <v>0</v>
      </c>
      <c r="AA96" s="154"/>
      <c r="AB96" s="157">
        <f t="shared" si="23"/>
        <v>1338.3333333333333</v>
      </c>
      <c r="AC96" s="154"/>
      <c r="AD96" s="154"/>
      <c r="AE96" s="156">
        <v>700</v>
      </c>
      <c r="AF96" s="160">
        <f t="shared" si="26"/>
        <v>638.33333333333326</v>
      </c>
    </row>
    <row r="97" spans="1:32" ht="24.95" customHeight="1" x14ac:dyDescent="0.25">
      <c r="A97" s="152">
        <f t="shared" si="27"/>
        <v>95</v>
      </c>
      <c r="B97" s="152" t="s">
        <v>282</v>
      </c>
      <c r="C97" s="161" t="s">
        <v>283</v>
      </c>
      <c r="D97" s="154"/>
      <c r="E97" s="155">
        <v>700</v>
      </c>
      <c r="F97" s="156">
        <v>100</v>
      </c>
      <c r="G97" s="156">
        <v>200</v>
      </c>
      <c r="H97" s="157">
        <f t="shared" si="24"/>
        <v>1000</v>
      </c>
      <c r="I97" s="152">
        <v>30</v>
      </c>
      <c r="J97" s="158">
        <v>0</v>
      </c>
      <c r="K97" s="152">
        <f t="shared" si="16"/>
        <v>30</v>
      </c>
      <c r="L97" s="156">
        <f t="shared" si="17"/>
        <v>700</v>
      </c>
      <c r="M97" s="152">
        <v>50</v>
      </c>
      <c r="N97" s="156">
        <f t="shared" si="18"/>
        <v>182.29166666666666</v>
      </c>
      <c r="O97" s="152">
        <v>13</v>
      </c>
      <c r="P97" s="156">
        <f t="shared" si="25"/>
        <v>47.395833333333329</v>
      </c>
      <c r="Q97" s="152">
        <v>6.5</v>
      </c>
      <c r="R97" s="156">
        <f t="shared" si="19"/>
        <v>28.4375</v>
      </c>
      <c r="S97" s="156">
        <v>11</v>
      </c>
      <c r="T97" s="156">
        <f t="shared" si="20"/>
        <v>80.208333333333314</v>
      </c>
      <c r="U97" s="152">
        <f t="shared" si="21"/>
        <v>30</v>
      </c>
      <c r="V97" s="156">
        <f>G97/I97*U97</f>
        <v>200</v>
      </c>
      <c r="W97" s="156">
        <v>0</v>
      </c>
      <c r="X97" s="152">
        <f t="shared" si="15"/>
        <v>0</v>
      </c>
      <c r="Y97" s="156">
        <f t="shared" si="22"/>
        <v>100</v>
      </c>
      <c r="Z97" s="154">
        <v>0</v>
      </c>
      <c r="AA97" s="169">
        <v>119</v>
      </c>
      <c r="AB97" s="157">
        <f t="shared" si="23"/>
        <v>1219.3333333333333</v>
      </c>
      <c r="AC97" s="154"/>
      <c r="AD97" s="178" t="s">
        <v>576</v>
      </c>
      <c r="AE97" s="156">
        <v>700</v>
      </c>
      <c r="AF97" s="160">
        <f t="shared" si="26"/>
        <v>519.33333333333326</v>
      </c>
    </row>
    <row r="98" spans="1:32" ht="24.95" customHeight="1" x14ac:dyDescent="0.25">
      <c r="A98" s="152">
        <f t="shared" si="27"/>
        <v>96</v>
      </c>
      <c r="B98" s="152" t="s">
        <v>286</v>
      </c>
      <c r="C98" s="161" t="s">
        <v>287</v>
      </c>
      <c r="D98" s="154"/>
      <c r="E98" s="155">
        <v>700</v>
      </c>
      <c r="F98" s="156">
        <v>100</v>
      </c>
      <c r="G98" s="156">
        <v>200</v>
      </c>
      <c r="H98" s="157">
        <f t="shared" si="24"/>
        <v>1000</v>
      </c>
      <c r="I98" s="152">
        <v>30</v>
      </c>
      <c r="J98" s="158">
        <v>0</v>
      </c>
      <c r="K98" s="152">
        <f t="shared" si="16"/>
        <v>30</v>
      </c>
      <c r="L98" s="156">
        <f t="shared" si="17"/>
        <v>700</v>
      </c>
      <c r="M98" s="152">
        <v>50</v>
      </c>
      <c r="N98" s="156">
        <f t="shared" si="18"/>
        <v>182.29166666666666</v>
      </c>
      <c r="O98" s="152">
        <v>51</v>
      </c>
      <c r="P98" s="156">
        <f t="shared" si="25"/>
        <v>185.9375</v>
      </c>
      <c r="Q98" s="152">
        <v>24.5</v>
      </c>
      <c r="R98" s="156">
        <f t="shared" si="19"/>
        <v>107.1875</v>
      </c>
      <c r="S98" s="156">
        <v>9.5</v>
      </c>
      <c r="T98" s="156">
        <f t="shared" si="20"/>
        <v>69.270833333333329</v>
      </c>
      <c r="U98" s="152">
        <f t="shared" si="21"/>
        <v>30</v>
      </c>
      <c r="V98" s="156">
        <f>G98/I98*U98</f>
        <v>200</v>
      </c>
      <c r="W98" s="156">
        <v>0</v>
      </c>
      <c r="X98" s="152">
        <f t="shared" si="15"/>
        <v>0</v>
      </c>
      <c r="Y98" s="156">
        <f t="shared" si="22"/>
        <v>100</v>
      </c>
      <c r="Z98" s="154">
        <v>50</v>
      </c>
      <c r="AA98" s="154"/>
      <c r="AB98" s="157">
        <f t="shared" si="23"/>
        <v>1594.6874999999998</v>
      </c>
      <c r="AC98" s="154"/>
      <c r="AD98" s="154"/>
      <c r="AE98" s="156">
        <v>700</v>
      </c>
      <c r="AF98" s="160">
        <f t="shared" si="26"/>
        <v>894.68749999999977</v>
      </c>
    </row>
    <row r="99" spans="1:32" ht="24.95" customHeight="1" x14ac:dyDescent="0.25">
      <c r="A99" s="152">
        <f t="shared" si="27"/>
        <v>97</v>
      </c>
      <c r="B99" s="152" t="s">
        <v>290</v>
      </c>
      <c r="C99" s="161" t="s">
        <v>291</v>
      </c>
      <c r="D99" s="154"/>
      <c r="E99" s="155">
        <v>700</v>
      </c>
      <c r="F99" s="156">
        <v>100</v>
      </c>
      <c r="G99" s="156">
        <v>200</v>
      </c>
      <c r="H99" s="157">
        <f t="shared" si="24"/>
        <v>1000</v>
      </c>
      <c r="I99" s="152">
        <v>30</v>
      </c>
      <c r="J99" s="158">
        <v>1</v>
      </c>
      <c r="K99" s="152">
        <f t="shared" si="16"/>
        <v>29</v>
      </c>
      <c r="L99" s="156">
        <f t="shared" si="17"/>
        <v>676.66666666666663</v>
      </c>
      <c r="M99" s="152">
        <v>48</v>
      </c>
      <c r="N99" s="156">
        <f t="shared" si="18"/>
        <v>175</v>
      </c>
      <c r="O99" s="152">
        <v>0</v>
      </c>
      <c r="P99" s="156">
        <f t="shared" si="25"/>
        <v>0</v>
      </c>
      <c r="Q99" s="152">
        <v>0</v>
      </c>
      <c r="R99" s="156">
        <f t="shared" si="19"/>
        <v>0</v>
      </c>
      <c r="S99" s="156">
        <v>0</v>
      </c>
      <c r="T99" s="156">
        <f t="shared" si="20"/>
        <v>0</v>
      </c>
      <c r="U99" s="152">
        <f t="shared" si="21"/>
        <v>29</v>
      </c>
      <c r="V99" s="163">
        <v>0</v>
      </c>
      <c r="W99" s="156">
        <v>0</v>
      </c>
      <c r="X99" s="152">
        <f t="shared" si="15"/>
        <v>0</v>
      </c>
      <c r="Y99" s="156">
        <f t="shared" si="22"/>
        <v>96.666666666666671</v>
      </c>
      <c r="Z99" s="154">
        <v>0</v>
      </c>
      <c r="AA99" s="154"/>
      <c r="AB99" s="157">
        <f t="shared" si="23"/>
        <v>948.33333333333326</v>
      </c>
      <c r="AC99" s="154"/>
      <c r="AD99" s="154"/>
      <c r="AE99" s="156">
        <v>700</v>
      </c>
      <c r="AF99" s="160">
        <f t="shared" si="26"/>
        <v>248.33333333333326</v>
      </c>
    </row>
    <row r="100" spans="1:32" ht="24.95" customHeight="1" x14ac:dyDescent="0.25">
      <c r="A100" s="152">
        <f t="shared" si="27"/>
        <v>98</v>
      </c>
      <c r="B100" s="152" t="s">
        <v>292</v>
      </c>
      <c r="C100" s="161" t="s">
        <v>293</v>
      </c>
      <c r="D100" s="154"/>
      <c r="E100" s="155">
        <v>700</v>
      </c>
      <c r="F100" s="156">
        <v>100</v>
      </c>
      <c r="G100" s="156">
        <v>200</v>
      </c>
      <c r="H100" s="157">
        <f t="shared" si="24"/>
        <v>1000</v>
      </c>
      <c r="I100" s="152">
        <v>30</v>
      </c>
      <c r="J100" s="165">
        <v>0</v>
      </c>
      <c r="K100" s="152">
        <f t="shared" si="16"/>
        <v>30</v>
      </c>
      <c r="L100" s="156">
        <f t="shared" si="17"/>
        <v>700</v>
      </c>
      <c r="M100" s="152">
        <v>48</v>
      </c>
      <c r="N100" s="156">
        <f t="shared" si="18"/>
        <v>175</v>
      </c>
      <c r="O100" s="152">
        <v>0</v>
      </c>
      <c r="P100" s="156">
        <f t="shared" si="25"/>
        <v>0</v>
      </c>
      <c r="Q100" s="152">
        <v>0</v>
      </c>
      <c r="R100" s="156">
        <f t="shared" si="19"/>
        <v>0</v>
      </c>
      <c r="S100" s="156">
        <v>0</v>
      </c>
      <c r="T100" s="156">
        <f t="shared" si="20"/>
        <v>0</v>
      </c>
      <c r="U100" s="152">
        <f t="shared" si="21"/>
        <v>30</v>
      </c>
      <c r="V100" s="163">
        <v>0</v>
      </c>
      <c r="W100" s="156">
        <v>0</v>
      </c>
      <c r="X100" s="152">
        <f t="shared" si="15"/>
        <v>0</v>
      </c>
      <c r="Y100" s="156">
        <f t="shared" si="22"/>
        <v>100</v>
      </c>
      <c r="Z100" s="154">
        <v>0</v>
      </c>
      <c r="AA100" s="154"/>
      <c r="AB100" s="157">
        <f t="shared" si="23"/>
        <v>975</v>
      </c>
      <c r="AC100" s="154"/>
      <c r="AD100" s="154"/>
      <c r="AE100" s="156">
        <v>700</v>
      </c>
      <c r="AF100" s="160">
        <f t="shared" si="26"/>
        <v>275</v>
      </c>
    </row>
    <row r="101" spans="1:32" ht="24.95" customHeight="1" x14ac:dyDescent="0.25">
      <c r="A101" s="152">
        <f t="shared" si="27"/>
        <v>99</v>
      </c>
      <c r="B101" s="152" t="s">
        <v>310</v>
      </c>
      <c r="C101" s="161" t="s">
        <v>311</v>
      </c>
      <c r="D101" s="154"/>
      <c r="E101" s="155">
        <v>700</v>
      </c>
      <c r="F101" s="156">
        <v>100</v>
      </c>
      <c r="G101" s="156">
        <v>200</v>
      </c>
      <c r="H101" s="157">
        <f t="shared" si="24"/>
        <v>1000</v>
      </c>
      <c r="I101" s="152">
        <v>30</v>
      </c>
      <c r="J101" s="158">
        <v>3</v>
      </c>
      <c r="K101" s="152">
        <f t="shared" si="16"/>
        <v>27</v>
      </c>
      <c r="L101" s="156">
        <f t="shared" si="17"/>
        <v>630</v>
      </c>
      <c r="M101" s="152">
        <v>44</v>
      </c>
      <c r="N101" s="156">
        <f t="shared" si="18"/>
        <v>160.41666666666666</v>
      </c>
      <c r="O101" s="152">
        <v>22</v>
      </c>
      <c r="P101" s="156">
        <f t="shared" si="25"/>
        <v>80.208333333333314</v>
      </c>
      <c r="Q101" s="152">
        <v>12</v>
      </c>
      <c r="R101" s="156">
        <f t="shared" si="19"/>
        <v>52.5</v>
      </c>
      <c r="S101" s="156">
        <v>11</v>
      </c>
      <c r="T101" s="156">
        <f t="shared" si="20"/>
        <v>80.208333333333314</v>
      </c>
      <c r="U101" s="152">
        <f t="shared" si="21"/>
        <v>27</v>
      </c>
      <c r="V101" s="156">
        <f t="shared" ref="V101:V106" si="29">G101/I101*U101</f>
        <v>180</v>
      </c>
      <c r="W101" s="156">
        <v>0</v>
      </c>
      <c r="X101" s="152">
        <f t="shared" si="15"/>
        <v>0</v>
      </c>
      <c r="Y101" s="156">
        <f t="shared" si="22"/>
        <v>90</v>
      </c>
      <c r="Z101" s="154">
        <v>25</v>
      </c>
      <c r="AA101" s="154"/>
      <c r="AB101" s="157">
        <f t="shared" si="23"/>
        <v>1298.3333333333333</v>
      </c>
      <c r="AC101" s="154"/>
      <c r="AD101" s="154"/>
      <c r="AE101" s="156">
        <v>607</v>
      </c>
      <c r="AF101" s="160">
        <f t="shared" si="26"/>
        <v>691.33333333333326</v>
      </c>
    </row>
    <row r="102" spans="1:32" ht="24.95" customHeight="1" x14ac:dyDescent="0.25">
      <c r="A102" s="152">
        <f t="shared" si="27"/>
        <v>100</v>
      </c>
      <c r="B102" s="152" t="s">
        <v>312</v>
      </c>
      <c r="C102" s="161" t="s">
        <v>313</v>
      </c>
      <c r="D102" s="154"/>
      <c r="E102" s="155">
        <v>700</v>
      </c>
      <c r="F102" s="156">
        <v>100</v>
      </c>
      <c r="G102" s="156">
        <v>200</v>
      </c>
      <c r="H102" s="157">
        <f t="shared" si="24"/>
        <v>1000</v>
      </c>
      <c r="I102" s="152">
        <v>30</v>
      </c>
      <c r="J102" s="158">
        <v>30</v>
      </c>
      <c r="K102" s="152">
        <f t="shared" si="16"/>
        <v>0</v>
      </c>
      <c r="L102" s="156">
        <f t="shared" si="17"/>
        <v>0</v>
      </c>
      <c r="M102" s="152">
        <v>0</v>
      </c>
      <c r="N102" s="156">
        <f t="shared" si="18"/>
        <v>0</v>
      </c>
      <c r="O102" s="152">
        <v>0</v>
      </c>
      <c r="P102" s="156">
        <f t="shared" si="25"/>
        <v>0</v>
      </c>
      <c r="Q102" s="152">
        <v>0</v>
      </c>
      <c r="R102" s="156">
        <f t="shared" si="19"/>
        <v>0</v>
      </c>
      <c r="S102" s="156">
        <v>0</v>
      </c>
      <c r="T102" s="156">
        <f t="shared" si="20"/>
        <v>0</v>
      </c>
      <c r="U102" s="152">
        <f t="shared" si="21"/>
        <v>0</v>
      </c>
      <c r="V102" s="156">
        <f t="shared" si="29"/>
        <v>0</v>
      </c>
      <c r="W102" s="156">
        <v>0</v>
      </c>
      <c r="X102" s="152">
        <f t="shared" si="15"/>
        <v>0</v>
      </c>
      <c r="Y102" s="156">
        <f t="shared" si="22"/>
        <v>0</v>
      </c>
      <c r="Z102" s="154">
        <v>0</v>
      </c>
      <c r="AA102" s="154"/>
      <c r="AB102" s="157">
        <f t="shared" si="23"/>
        <v>0</v>
      </c>
      <c r="AC102" s="154"/>
      <c r="AD102" s="154"/>
      <c r="AE102" s="156">
        <v>0</v>
      </c>
      <c r="AF102" s="160">
        <f t="shared" si="26"/>
        <v>0</v>
      </c>
    </row>
    <row r="103" spans="1:32" ht="24.95" customHeight="1" x14ac:dyDescent="0.25">
      <c r="A103" s="152">
        <f>A102+1</f>
        <v>101</v>
      </c>
      <c r="B103" s="152" t="s">
        <v>318</v>
      </c>
      <c r="C103" s="153" t="s">
        <v>319</v>
      </c>
      <c r="D103" s="154"/>
      <c r="E103" s="155">
        <v>700</v>
      </c>
      <c r="F103" s="156">
        <v>100</v>
      </c>
      <c r="G103" s="156">
        <v>200</v>
      </c>
      <c r="H103" s="157">
        <f t="shared" si="24"/>
        <v>1000</v>
      </c>
      <c r="I103" s="152">
        <v>30</v>
      </c>
      <c r="J103" s="158">
        <v>0</v>
      </c>
      <c r="K103" s="152">
        <f t="shared" si="16"/>
        <v>30</v>
      </c>
      <c r="L103" s="156">
        <f t="shared" si="17"/>
        <v>700</v>
      </c>
      <c r="M103" s="152">
        <v>48</v>
      </c>
      <c r="N103" s="156">
        <f t="shared" si="18"/>
        <v>175</v>
      </c>
      <c r="O103" s="152">
        <v>44</v>
      </c>
      <c r="P103" s="156">
        <f t="shared" si="25"/>
        <v>160.41666666666663</v>
      </c>
      <c r="Q103" s="152">
        <v>6</v>
      </c>
      <c r="R103" s="156">
        <f t="shared" si="19"/>
        <v>26.25</v>
      </c>
      <c r="S103" s="156">
        <v>11</v>
      </c>
      <c r="T103" s="156">
        <f t="shared" si="20"/>
        <v>80.208333333333314</v>
      </c>
      <c r="U103" s="152">
        <f t="shared" si="21"/>
        <v>30</v>
      </c>
      <c r="V103" s="156">
        <f t="shared" si="29"/>
        <v>200</v>
      </c>
      <c r="W103" s="156">
        <v>0</v>
      </c>
      <c r="X103" s="152">
        <f t="shared" si="15"/>
        <v>0</v>
      </c>
      <c r="Y103" s="156">
        <f t="shared" si="22"/>
        <v>100</v>
      </c>
      <c r="Z103" s="154">
        <v>0</v>
      </c>
      <c r="AA103" s="154"/>
      <c r="AB103" s="157">
        <f t="shared" si="23"/>
        <v>1441.8749999999998</v>
      </c>
      <c r="AC103" s="154"/>
      <c r="AD103" s="159"/>
      <c r="AE103" s="156">
        <v>700</v>
      </c>
      <c r="AF103" s="160">
        <f t="shared" si="26"/>
        <v>741.87499999999977</v>
      </c>
    </row>
    <row r="104" spans="1:32" ht="24.95" customHeight="1" x14ac:dyDescent="0.25">
      <c r="A104" s="152">
        <f t="shared" si="27"/>
        <v>102</v>
      </c>
      <c r="B104" s="152" t="s">
        <v>328</v>
      </c>
      <c r="C104" s="153" t="s">
        <v>329</v>
      </c>
      <c r="D104" s="154"/>
      <c r="E104" s="155">
        <v>700</v>
      </c>
      <c r="F104" s="156">
        <v>100</v>
      </c>
      <c r="G104" s="156">
        <v>200</v>
      </c>
      <c r="H104" s="157">
        <f t="shared" si="24"/>
        <v>1000</v>
      </c>
      <c r="I104" s="152">
        <v>30</v>
      </c>
      <c r="J104" s="158">
        <v>1</v>
      </c>
      <c r="K104" s="152">
        <f t="shared" si="16"/>
        <v>29</v>
      </c>
      <c r="L104" s="156">
        <f t="shared" si="17"/>
        <v>676.66666666666663</v>
      </c>
      <c r="M104" s="152">
        <v>46</v>
      </c>
      <c r="N104" s="156">
        <f t="shared" si="18"/>
        <v>167.70833333333331</v>
      </c>
      <c r="O104" s="152">
        <v>26</v>
      </c>
      <c r="P104" s="156">
        <f t="shared" si="25"/>
        <v>94.791666666666657</v>
      </c>
      <c r="Q104" s="152">
        <v>16</v>
      </c>
      <c r="R104" s="156">
        <f t="shared" si="19"/>
        <v>70</v>
      </c>
      <c r="S104" s="156">
        <v>0</v>
      </c>
      <c r="T104" s="156">
        <f t="shared" si="20"/>
        <v>0</v>
      </c>
      <c r="U104" s="152">
        <f t="shared" si="21"/>
        <v>29</v>
      </c>
      <c r="V104" s="156">
        <f t="shared" si="29"/>
        <v>193.33333333333334</v>
      </c>
      <c r="W104" s="156">
        <v>0</v>
      </c>
      <c r="X104" s="152">
        <f t="shared" si="15"/>
        <v>0</v>
      </c>
      <c r="Y104" s="156">
        <f t="shared" si="22"/>
        <v>96.666666666666671</v>
      </c>
      <c r="Z104" s="154">
        <v>25</v>
      </c>
      <c r="AA104" s="156"/>
      <c r="AB104" s="157">
        <f t="shared" si="23"/>
        <v>1324.1666666666667</v>
      </c>
      <c r="AC104" s="154"/>
      <c r="AD104" s="159"/>
      <c r="AE104" s="156">
        <v>653</v>
      </c>
      <c r="AF104" s="160">
        <f t="shared" si="26"/>
        <v>671.16666666666674</v>
      </c>
    </row>
    <row r="105" spans="1:32" ht="24.95" customHeight="1" x14ac:dyDescent="0.25">
      <c r="A105" s="152">
        <f t="shared" si="27"/>
        <v>103</v>
      </c>
      <c r="B105" s="154" t="s">
        <v>344</v>
      </c>
      <c r="C105" s="174" t="s">
        <v>345</v>
      </c>
      <c r="D105" s="154"/>
      <c r="E105" s="155">
        <v>700</v>
      </c>
      <c r="F105" s="156">
        <v>100</v>
      </c>
      <c r="G105" s="156">
        <v>200</v>
      </c>
      <c r="H105" s="157">
        <f t="shared" si="24"/>
        <v>1000</v>
      </c>
      <c r="I105" s="152">
        <v>30</v>
      </c>
      <c r="J105" s="158">
        <v>0</v>
      </c>
      <c r="K105" s="152">
        <f t="shared" si="16"/>
        <v>30</v>
      </c>
      <c r="L105" s="156">
        <f t="shared" si="17"/>
        <v>700</v>
      </c>
      <c r="M105" s="152">
        <v>50</v>
      </c>
      <c r="N105" s="156">
        <f t="shared" si="18"/>
        <v>182.29166666666666</v>
      </c>
      <c r="O105" s="152">
        <v>0</v>
      </c>
      <c r="P105" s="156">
        <f t="shared" si="25"/>
        <v>0</v>
      </c>
      <c r="Q105" s="152">
        <v>0</v>
      </c>
      <c r="R105" s="156">
        <f t="shared" si="19"/>
        <v>0</v>
      </c>
      <c r="S105" s="156">
        <v>0</v>
      </c>
      <c r="T105" s="156">
        <f t="shared" si="20"/>
        <v>0</v>
      </c>
      <c r="U105" s="152">
        <f t="shared" si="21"/>
        <v>30</v>
      </c>
      <c r="V105" s="156">
        <f t="shared" si="29"/>
        <v>200</v>
      </c>
      <c r="W105" s="156">
        <v>0</v>
      </c>
      <c r="X105" s="152">
        <f t="shared" si="15"/>
        <v>0</v>
      </c>
      <c r="Y105" s="156">
        <f t="shared" si="22"/>
        <v>100</v>
      </c>
      <c r="Z105" s="154">
        <v>0</v>
      </c>
      <c r="AA105" s="154"/>
      <c r="AB105" s="157">
        <f t="shared" si="23"/>
        <v>1182.2916666666665</v>
      </c>
      <c r="AC105" s="154"/>
      <c r="AD105" s="154"/>
      <c r="AE105" s="156">
        <v>700</v>
      </c>
      <c r="AF105" s="160">
        <f t="shared" si="26"/>
        <v>482.29166666666652</v>
      </c>
    </row>
    <row r="106" spans="1:32" ht="24.95" customHeight="1" x14ac:dyDescent="0.25">
      <c r="A106" s="152">
        <f t="shared" si="27"/>
        <v>104</v>
      </c>
      <c r="B106" s="154" t="s">
        <v>350</v>
      </c>
      <c r="C106" s="174" t="s">
        <v>351</v>
      </c>
      <c r="D106" s="154"/>
      <c r="E106" s="155">
        <v>700</v>
      </c>
      <c r="F106" s="156">
        <v>100</v>
      </c>
      <c r="G106" s="156">
        <v>200</v>
      </c>
      <c r="H106" s="157">
        <f t="shared" si="24"/>
        <v>1000</v>
      </c>
      <c r="I106" s="152">
        <v>30</v>
      </c>
      <c r="J106" s="158">
        <v>1</v>
      </c>
      <c r="K106" s="152">
        <f t="shared" si="16"/>
        <v>29</v>
      </c>
      <c r="L106" s="156">
        <f t="shared" si="17"/>
        <v>676.66666666666663</v>
      </c>
      <c r="M106" s="152">
        <v>46</v>
      </c>
      <c r="N106" s="156">
        <f t="shared" si="18"/>
        <v>167.70833333333331</v>
      </c>
      <c r="O106" s="152">
        <v>19</v>
      </c>
      <c r="P106" s="156">
        <f t="shared" si="25"/>
        <v>69.270833333333329</v>
      </c>
      <c r="Q106" s="152">
        <v>0</v>
      </c>
      <c r="R106" s="156">
        <f t="shared" si="19"/>
        <v>0</v>
      </c>
      <c r="S106" s="156">
        <v>0</v>
      </c>
      <c r="T106" s="156">
        <f t="shared" si="20"/>
        <v>0</v>
      </c>
      <c r="U106" s="152">
        <f t="shared" si="21"/>
        <v>29</v>
      </c>
      <c r="V106" s="156">
        <f t="shared" si="29"/>
        <v>193.33333333333334</v>
      </c>
      <c r="W106" s="156">
        <v>0</v>
      </c>
      <c r="X106" s="152">
        <f t="shared" si="15"/>
        <v>0</v>
      </c>
      <c r="Y106" s="156">
        <f t="shared" si="22"/>
        <v>96.666666666666671</v>
      </c>
      <c r="Z106" s="154">
        <v>0</v>
      </c>
      <c r="AA106" s="154"/>
      <c r="AB106" s="157">
        <f t="shared" si="23"/>
        <v>1203.6458333333335</v>
      </c>
      <c r="AC106" s="154"/>
      <c r="AD106" s="154"/>
      <c r="AE106" s="156">
        <v>700</v>
      </c>
      <c r="AF106" s="160">
        <f t="shared" si="26"/>
        <v>503.64583333333348</v>
      </c>
    </row>
    <row r="107" spans="1:32" ht="24.95" customHeight="1" x14ac:dyDescent="0.25">
      <c r="A107" s="152">
        <f t="shared" si="27"/>
        <v>105</v>
      </c>
      <c r="B107" s="154" t="s">
        <v>352</v>
      </c>
      <c r="C107" s="176" t="s">
        <v>353</v>
      </c>
      <c r="D107" s="154"/>
      <c r="E107" s="155">
        <v>700</v>
      </c>
      <c r="F107" s="156">
        <v>200</v>
      </c>
      <c r="G107" s="156">
        <v>200</v>
      </c>
      <c r="H107" s="157">
        <f t="shared" si="24"/>
        <v>1100</v>
      </c>
      <c r="I107" s="152">
        <v>30</v>
      </c>
      <c r="J107" s="158">
        <v>1</v>
      </c>
      <c r="K107" s="152">
        <f t="shared" si="16"/>
        <v>29</v>
      </c>
      <c r="L107" s="156">
        <f t="shared" si="17"/>
        <v>676.66666666666663</v>
      </c>
      <c r="M107" s="152">
        <v>48</v>
      </c>
      <c r="N107" s="156">
        <f t="shared" si="18"/>
        <v>175</v>
      </c>
      <c r="O107" s="152">
        <v>0</v>
      </c>
      <c r="P107" s="156">
        <f t="shared" si="25"/>
        <v>0</v>
      </c>
      <c r="Q107" s="152">
        <v>0</v>
      </c>
      <c r="R107" s="156">
        <f t="shared" si="19"/>
        <v>0</v>
      </c>
      <c r="S107" s="156">
        <v>0</v>
      </c>
      <c r="T107" s="156">
        <f t="shared" si="20"/>
        <v>0</v>
      </c>
      <c r="U107" s="152">
        <f t="shared" si="21"/>
        <v>29</v>
      </c>
      <c r="V107" s="163">
        <v>0</v>
      </c>
      <c r="W107" s="156">
        <v>0</v>
      </c>
      <c r="X107" s="152">
        <f t="shared" si="15"/>
        <v>0</v>
      </c>
      <c r="Y107" s="156">
        <f t="shared" si="22"/>
        <v>193.33333333333334</v>
      </c>
      <c r="Z107" s="154">
        <v>0</v>
      </c>
      <c r="AA107" s="154"/>
      <c r="AB107" s="157">
        <f t="shared" si="23"/>
        <v>1045</v>
      </c>
      <c r="AC107" s="154"/>
      <c r="AD107" s="159"/>
      <c r="AE107" s="156">
        <v>765</v>
      </c>
      <c r="AF107" s="160">
        <f t="shared" si="26"/>
        <v>280</v>
      </c>
    </row>
    <row r="108" spans="1:32" ht="24.95" customHeight="1" x14ac:dyDescent="0.25">
      <c r="A108" s="152">
        <f t="shared" si="27"/>
        <v>106</v>
      </c>
      <c r="B108" s="154" t="s">
        <v>517</v>
      </c>
      <c r="C108" s="174" t="s">
        <v>518</v>
      </c>
      <c r="D108" s="154">
        <v>1000</v>
      </c>
      <c r="E108" s="155">
        <v>700</v>
      </c>
      <c r="F108" s="156">
        <v>100</v>
      </c>
      <c r="G108" s="156">
        <v>200</v>
      </c>
      <c r="H108" s="157">
        <f t="shared" si="24"/>
        <v>1000</v>
      </c>
      <c r="I108" s="152">
        <v>30</v>
      </c>
      <c r="J108" s="158">
        <v>0</v>
      </c>
      <c r="K108" s="152">
        <f t="shared" si="16"/>
        <v>30</v>
      </c>
      <c r="L108" s="156">
        <f t="shared" si="17"/>
        <v>700</v>
      </c>
      <c r="M108" s="152">
        <v>48</v>
      </c>
      <c r="N108" s="156">
        <f t="shared" si="18"/>
        <v>175</v>
      </c>
      <c r="O108" s="152">
        <v>40</v>
      </c>
      <c r="P108" s="156">
        <f t="shared" si="25"/>
        <v>145.83333333333331</v>
      </c>
      <c r="Q108" s="152">
        <v>16</v>
      </c>
      <c r="R108" s="156">
        <f t="shared" si="19"/>
        <v>70</v>
      </c>
      <c r="S108" s="156">
        <v>0</v>
      </c>
      <c r="T108" s="156">
        <f t="shared" si="20"/>
        <v>0</v>
      </c>
      <c r="U108" s="152">
        <f t="shared" si="21"/>
        <v>30</v>
      </c>
      <c r="V108" s="156">
        <f>G108/I108*U108</f>
        <v>200</v>
      </c>
      <c r="W108" s="156">
        <v>0</v>
      </c>
      <c r="X108" s="152">
        <f t="shared" si="15"/>
        <v>0</v>
      </c>
      <c r="Y108" s="156">
        <f t="shared" si="22"/>
        <v>100</v>
      </c>
      <c r="Z108" s="154">
        <v>25</v>
      </c>
      <c r="AA108" s="154"/>
      <c r="AB108" s="157">
        <f t="shared" si="23"/>
        <v>1415.8333333333333</v>
      </c>
      <c r="AC108" s="154"/>
      <c r="AD108" s="159"/>
      <c r="AE108" s="156">
        <v>1000</v>
      </c>
      <c r="AF108" s="160">
        <f t="shared" si="26"/>
        <v>415.83333333333326</v>
      </c>
    </row>
    <row r="109" spans="1:32" ht="24.95" customHeight="1" x14ac:dyDescent="0.25">
      <c r="A109" s="152">
        <f t="shared" si="27"/>
        <v>107</v>
      </c>
      <c r="B109" s="154" t="s">
        <v>519</v>
      </c>
      <c r="C109" s="174" t="s">
        <v>520</v>
      </c>
      <c r="D109" s="154">
        <v>1000</v>
      </c>
      <c r="E109" s="155">
        <v>700</v>
      </c>
      <c r="F109" s="156">
        <v>100</v>
      </c>
      <c r="G109" s="156">
        <v>200</v>
      </c>
      <c r="H109" s="157">
        <f t="shared" si="24"/>
        <v>1000</v>
      </c>
      <c r="I109" s="152">
        <v>30</v>
      </c>
      <c r="J109" s="158">
        <v>0</v>
      </c>
      <c r="K109" s="152">
        <f t="shared" si="16"/>
        <v>30</v>
      </c>
      <c r="L109" s="156">
        <f t="shared" si="17"/>
        <v>700</v>
      </c>
      <c r="M109" s="152">
        <v>50</v>
      </c>
      <c r="N109" s="156">
        <f t="shared" si="18"/>
        <v>182.29166666666666</v>
      </c>
      <c r="O109" s="152">
        <v>46</v>
      </c>
      <c r="P109" s="156">
        <f t="shared" si="25"/>
        <v>167.70833333333331</v>
      </c>
      <c r="Q109" s="152">
        <v>24</v>
      </c>
      <c r="R109" s="156">
        <f t="shared" si="19"/>
        <v>105</v>
      </c>
      <c r="S109" s="156">
        <v>11</v>
      </c>
      <c r="T109" s="156">
        <f t="shared" si="20"/>
        <v>80.208333333333314</v>
      </c>
      <c r="U109" s="152">
        <f t="shared" si="21"/>
        <v>30</v>
      </c>
      <c r="V109" s="156">
        <f>G109/I109*U109</f>
        <v>200</v>
      </c>
      <c r="W109" s="156">
        <v>0</v>
      </c>
      <c r="X109" s="152">
        <f t="shared" si="15"/>
        <v>0</v>
      </c>
      <c r="Y109" s="156">
        <f t="shared" si="22"/>
        <v>100</v>
      </c>
      <c r="Z109" s="154">
        <v>50</v>
      </c>
      <c r="AA109" s="154"/>
      <c r="AB109" s="157">
        <f t="shared" si="23"/>
        <v>1585.2083333333333</v>
      </c>
      <c r="AC109" s="154"/>
      <c r="AD109" s="159"/>
      <c r="AE109" s="156">
        <v>1000</v>
      </c>
      <c r="AF109" s="160">
        <f t="shared" si="26"/>
        <v>585.20833333333326</v>
      </c>
    </row>
    <row r="110" spans="1:32" ht="24.95" customHeight="1" x14ac:dyDescent="0.25">
      <c r="A110" s="152">
        <f t="shared" si="27"/>
        <v>108</v>
      </c>
      <c r="B110" s="154" t="s">
        <v>521</v>
      </c>
      <c r="C110" s="174" t="s">
        <v>522</v>
      </c>
      <c r="D110" s="154">
        <v>1000</v>
      </c>
      <c r="E110" s="155">
        <v>700</v>
      </c>
      <c r="F110" s="156">
        <v>100</v>
      </c>
      <c r="G110" s="156">
        <v>200</v>
      </c>
      <c r="H110" s="157">
        <f t="shared" si="24"/>
        <v>1000</v>
      </c>
      <c r="I110" s="152">
        <v>30</v>
      </c>
      <c r="J110" s="158">
        <v>0</v>
      </c>
      <c r="K110" s="152">
        <f t="shared" si="16"/>
        <v>30</v>
      </c>
      <c r="L110" s="156">
        <f t="shared" si="17"/>
        <v>700</v>
      </c>
      <c r="M110" s="152">
        <v>50</v>
      </c>
      <c r="N110" s="156">
        <f t="shared" si="18"/>
        <v>182.29166666666666</v>
      </c>
      <c r="O110" s="152">
        <v>31</v>
      </c>
      <c r="P110" s="156">
        <f t="shared" si="25"/>
        <v>113.02083333333331</v>
      </c>
      <c r="Q110" s="152">
        <v>28</v>
      </c>
      <c r="R110" s="156">
        <f t="shared" si="19"/>
        <v>122.49999999999999</v>
      </c>
      <c r="S110" s="156">
        <v>11</v>
      </c>
      <c r="T110" s="156">
        <f t="shared" si="20"/>
        <v>80.208333333333314</v>
      </c>
      <c r="U110" s="152">
        <f t="shared" si="21"/>
        <v>30</v>
      </c>
      <c r="V110" s="156">
        <f>G110/I110*U110</f>
        <v>200</v>
      </c>
      <c r="W110" s="156">
        <v>0</v>
      </c>
      <c r="X110" s="152">
        <f t="shared" si="15"/>
        <v>0</v>
      </c>
      <c r="Y110" s="156">
        <f t="shared" si="22"/>
        <v>100</v>
      </c>
      <c r="Z110" s="154">
        <v>50</v>
      </c>
      <c r="AA110" s="154"/>
      <c r="AB110" s="157">
        <f t="shared" si="23"/>
        <v>1548.0208333333333</v>
      </c>
      <c r="AC110" s="154"/>
      <c r="AD110" s="159"/>
      <c r="AE110" s="156">
        <v>1000</v>
      </c>
      <c r="AF110" s="160">
        <f t="shared" si="26"/>
        <v>548.02083333333326</v>
      </c>
    </row>
    <row r="111" spans="1:32" ht="24.95" customHeight="1" x14ac:dyDescent="0.25">
      <c r="A111" s="152">
        <f t="shared" si="27"/>
        <v>109</v>
      </c>
      <c r="B111" s="154" t="s">
        <v>523</v>
      </c>
      <c r="C111" s="174" t="s">
        <v>524</v>
      </c>
      <c r="D111" s="154">
        <v>1000</v>
      </c>
      <c r="E111" s="155">
        <v>700</v>
      </c>
      <c r="F111" s="156">
        <v>100</v>
      </c>
      <c r="G111" s="156">
        <v>200</v>
      </c>
      <c r="H111" s="157">
        <f t="shared" si="24"/>
        <v>1000</v>
      </c>
      <c r="I111" s="152">
        <v>30</v>
      </c>
      <c r="J111" s="158">
        <v>0</v>
      </c>
      <c r="K111" s="152">
        <f t="shared" si="16"/>
        <v>30</v>
      </c>
      <c r="L111" s="156">
        <f t="shared" si="17"/>
        <v>700</v>
      </c>
      <c r="M111" s="152">
        <v>50</v>
      </c>
      <c r="N111" s="156">
        <f t="shared" si="18"/>
        <v>182.29166666666666</v>
      </c>
      <c r="O111" s="152">
        <v>0</v>
      </c>
      <c r="P111" s="156">
        <f t="shared" si="25"/>
        <v>0</v>
      </c>
      <c r="Q111" s="152">
        <v>0</v>
      </c>
      <c r="R111" s="156">
        <f t="shared" si="19"/>
        <v>0</v>
      </c>
      <c r="S111" s="156">
        <v>0</v>
      </c>
      <c r="T111" s="156">
        <f t="shared" si="20"/>
        <v>0</v>
      </c>
      <c r="U111" s="152">
        <f t="shared" si="21"/>
        <v>30</v>
      </c>
      <c r="V111" s="163">
        <v>0</v>
      </c>
      <c r="W111" s="156">
        <v>0</v>
      </c>
      <c r="X111" s="152">
        <f t="shared" si="15"/>
        <v>0</v>
      </c>
      <c r="Y111" s="156">
        <f t="shared" si="22"/>
        <v>100</v>
      </c>
      <c r="Z111" s="154">
        <v>29</v>
      </c>
      <c r="AA111" s="154"/>
      <c r="AB111" s="157">
        <f t="shared" si="23"/>
        <v>1011.2916666666666</v>
      </c>
      <c r="AC111" s="154" t="s">
        <v>577</v>
      </c>
      <c r="AD111" s="159"/>
      <c r="AE111" s="156">
        <v>850</v>
      </c>
      <c r="AF111" s="160">
        <f t="shared" si="26"/>
        <v>161.29166666666663</v>
      </c>
    </row>
    <row r="112" spans="1:32" ht="24.95" customHeight="1" x14ac:dyDescent="0.25">
      <c r="A112" s="152">
        <f t="shared" si="27"/>
        <v>110</v>
      </c>
      <c r="B112" s="154" t="s">
        <v>525</v>
      </c>
      <c r="C112" s="179" t="s">
        <v>526</v>
      </c>
      <c r="D112" s="154">
        <v>1000</v>
      </c>
      <c r="E112" s="155">
        <v>700</v>
      </c>
      <c r="F112" s="156">
        <v>100</v>
      </c>
      <c r="G112" s="156">
        <v>200</v>
      </c>
      <c r="H112" s="157">
        <f t="shared" si="24"/>
        <v>1000</v>
      </c>
      <c r="I112" s="152">
        <v>30</v>
      </c>
      <c r="J112" s="158">
        <v>0</v>
      </c>
      <c r="K112" s="152">
        <f t="shared" si="16"/>
        <v>30</v>
      </c>
      <c r="L112" s="156">
        <f t="shared" si="17"/>
        <v>700</v>
      </c>
      <c r="M112" s="152">
        <v>50</v>
      </c>
      <c r="N112" s="156">
        <f t="shared" si="18"/>
        <v>182.29166666666666</v>
      </c>
      <c r="O112" s="152">
        <v>38</v>
      </c>
      <c r="P112" s="156">
        <f t="shared" si="25"/>
        <v>138.54166666666666</v>
      </c>
      <c r="Q112" s="152">
        <v>34</v>
      </c>
      <c r="R112" s="156">
        <f t="shared" si="19"/>
        <v>148.75</v>
      </c>
      <c r="S112" s="156">
        <v>6.5</v>
      </c>
      <c r="T112" s="156">
        <f t="shared" si="20"/>
        <v>47.395833333333329</v>
      </c>
      <c r="U112" s="152">
        <f t="shared" si="21"/>
        <v>30</v>
      </c>
      <c r="V112" s="156">
        <f>G112/I112*U112</f>
        <v>200</v>
      </c>
      <c r="W112" s="156">
        <v>0</v>
      </c>
      <c r="X112" s="152">
        <f t="shared" si="15"/>
        <v>0</v>
      </c>
      <c r="Y112" s="156">
        <f t="shared" si="22"/>
        <v>100</v>
      </c>
      <c r="Z112" s="154">
        <v>50</v>
      </c>
      <c r="AA112" s="154"/>
      <c r="AB112" s="157">
        <f t="shared" si="23"/>
        <v>1566.9791666666665</v>
      </c>
      <c r="AC112" s="154"/>
      <c r="AD112" s="159"/>
      <c r="AE112" s="156">
        <v>1000</v>
      </c>
      <c r="AF112" s="160">
        <f t="shared" si="26"/>
        <v>566.97916666666652</v>
      </c>
    </row>
    <row r="113" spans="1:32" ht="24.95" customHeight="1" x14ac:dyDescent="0.25">
      <c r="A113" s="152">
        <f t="shared" si="27"/>
        <v>111</v>
      </c>
      <c r="B113" s="154" t="s">
        <v>536</v>
      </c>
      <c r="C113" s="179" t="s">
        <v>537</v>
      </c>
      <c r="D113" s="154">
        <v>900</v>
      </c>
      <c r="E113" s="155">
        <v>700</v>
      </c>
      <c r="F113" s="156">
        <v>0</v>
      </c>
      <c r="G113" s="156">
        <v>200</v>
      </c>
      <c r="H113" s="157">
        <f t="shared" si="24"/>
        <v>900</v>
      </c>
      <c r="I113" s="152">
        <v>30</v>
      </c>
      <c r="J113" s="158">
        <v>1</v>
      </c>
      <c r="K113" s="152">
        <f t="shared" si="16"/>
        <v>29</v>
      </c>
      <c r="L113" s="156">
        <f t="shared" si="17"/>
        <v>676.66666666666663</v>
      </c>
      <c r="M113" s="152">
        <v>48</v>
      </c>
      <c r="N113" s="156">
        <f t="shared" si="18"/>
        <v>175</v>
      </c>
      <c r="O113" s="152">
        <v>0</v>
      </c>
      <c r="P113" s="156">
        <f t="shared" si="25"/>
        <v>0</v>
      </c>
      <c r="Q113" s="152">
        <v>0</v>
      </c>
      <c r="R113" s="156">
        <f t="shared" si="19"/>
        <v>0</v>
      </c>
      <c r="S113" s="156">
        <v>0</v>
      </c>
      <c r="T113" s="156">
        <f t="shared" si="20"/>
        <v>0</v>
      </c>
      <c r="U113" s="152">
        <f t="shared" si="21"/>
        <v>29</v>
      </c>
      <c r="V113" s="156">
        <f>G113/I113*U113</f>
        <v>193.33333333333334</v>
      </c>
      <c r="W113" s="156">
        <v>0</v>
      </c>
      <c r="X113" s="152">
        <f t="shared" si="15"/>
        <v>0</v>
      </c>
      <c r="Y113" s="156">
        <f t="shared" si="22"/>
        <v>0</v>
      </c>
      <c r="Z113" s="154">
        <v>0</v>
      </c>
      <c r="AA113" s="154"/>
      <c r="AB113" s="157">
        <f t="shared" si="23"/>
        <v>1045</v>
      </c>
      <c r="AC113" s="154"/>
      <c r="AD113" s="159"/>
      <c r="AE113" s="156">
        <v>677</v>
      </c>
      <c r="AF113" s="160">
        <f t="shared" si="26"/>
        <v>368</v>
      </c>
    </row>
    <row r="114" spans="1:32" ht="33" customHeight="1" x14ac:dyDescent="0.25">
      <c r="A114" s="152">
        <f t="shared" si="27"/>
        <v>112</v>
      </c>
      <c r="B114" s="154" t="s">
        <v>538</v>
      </c>
      <c r="C114" s="179" t="s">
        <v>539</v>
      </c>
      <c r="D114" s="154">
        <v>900</v>
      </c>
      <c r="E114" s="155">
        <v>700</v>
      </c>
      <c r="F114" s="156">
        <v>0</v>
      </c>
      <c r="G114" s="156">
        <v>200</v>
      </c>
      <c r="H114" s="157">
        <f t="shared" si="24"/>
        <v>900</v>
      </c>
      <c r="I114" s="152">
        <v>30</v>
      </c>
      <c r="J114" s="158">
        <v>30</v>
      </c>
      <c r="K114" s="152">
        <f t="shared" si="16"/>
        <v>0</v>
      </c>
      <c r="L114" s="156">
        <f t="shared" si="17"/>
        <v>0</v>
      </c>
      <c r="M114" s="152">
        <v>0</v>
      </c>
      <c r="N114" s="156">
        <f t="shared" si="18"/>
        <v>0</v>
      </c>
      <c r="O114" s="152">
        <v>0</v>
      </c>
      <c r="P114" s="156">
        <f t="shared" si="25"/>
        <v>0</v>
      </c>
      <c r="Q114" s="152">
        <v>0</v>
      </c>
      <c r="R114" s="156">
        <f t="shared" si="19"/>
        <v>0</v>
      </c>
      <c r="S114" s="156">
        <v>0</v>
      </c>
      <c r="T114" s="156">
        <f t="shared" si="20"/>
        <v>0</v>
      </c>
      <c r="U114" s="152">
        <f t="shared" si="21"/>
        <v>0</v>
      </c>
      <c r="V114" s="156">
        <f>G114/I114*U114</f>
        <v>0</v>
      </c>
      <c r="W114" s="156">
        <v>0</v>
      </c>
      <c r="X114" s="152">
        <f t="shared" si="15"/>
        <v>0</v>
      </c>
      <c r="Y114" s="156">
        <f t="shared" si="22"/>
        <v>0</v>
      </c>
      <c r="Z114" s="154">
        <v>0</v>
      </c>
      <c r="AA114" s="154"/>
      <c r="AB114" s="157">
        <f t="shared" si="23"/>
        <v>0</v>
      </c>
      <c r="AC114" s="154"/>
      <c r="AD114" s="159"/>
      <c r="AE114" s="156">
        <v>0</v>
      </c>
      <c r="AF114" s="160">
        <f t="shared" si="26"/>
        <v>0</v>
      </c>
    </row>
    <row r="115" spans="1:32" ht="32.25" customHeight="1" x14ac:dyDescent="0.25">
      <c r="A115" s="152">
        <f>A114+1</f>
        <v>113</v>
      </c>
      <c r="B115" s="154" t="s">
        <v>542</v>
      </c>
      <c r="C115" s="176" t="s">
        <v>543</v>
      </c>
      <c r="D115" s="154">
        <v>1000</v>
      </c>
      <c r="E115" s="155">
        <v>700</v>
      </c>
      <c r="F115" s="156">
        <v>100</v>
      </c>
      <c r="G115" s="156">
        <v>200</v>
      </c>
      <c r="H115" s="157">
        <f t="shared" si="24"/>
        <v>1000</v>
      </c>
      <c r="I115" s="152">
        <v>30</v>
      </c>
      <c r="J115" s="158">
        <v>1</v>
      </c>
      <c r="K115" s="152">
        <f t="shared" si="16"/>
        <v>29</v>
      </c>
      <c r="L115" s="156">
        <f t="shared" si="17"/>
        <v>676.66666666666663</v>
      </c>
      <c r="M115" s="152">
        <v>46</v>
      </c>
      <c r="N115" s="156">
        <f t="shared" si="18"/>
        <v>167.70833333333331</v>
      </c>
      <c r="O115" s="152">
        <v>23</v>
      </c>
      <c r="P115" s="156">
        <f t="shared" si="25"/>
        <v>83.854166666666657</v>
      </c>
      <c r="Q115" s="152">
        <v>22</v>
      </c>
      <c r="R115" s="156">
        <f t="shared" si="19"/>
        <v>96.249999999999986</v>
      </c>
      <c r="S115" s="156">
        <v>11</v>
      </c>
      <c r="T115" s="156">
        <f t="shared" si="20"/>
        <v>80.208333333333314</v>
      </c>
      <c r="U115" s="152">
        <f t="shared" si="21"/>
        <v>29</v>
      </c>
      <c r="V115" s="156">
        <f>G115/I115*U115</f>
        <v>193.33333333333334</v>
      </c>
      <c r="W115" s="156">
        <v>0</v>
      </c>
      <c r="X115" s="152">
        <f t="shared" si="15"/>
        <v>0</v>
      </c>
      <c r="Y115" s="156">
        <f t="shared" si="22"/>
        <v>96.666666666666671</v>
      </c>
      <c r="Z115" s="154">
        <v>50</v>
      </c>
      <c r="AA115" s="154"/>
      <c r="AB115" s="157">
        <f t="shared" si="23"/>
        <v>1444.6874999999998</v>
      </c>
      <c r="AC115" s="154"/>
      <c r="AD115" s="159"/>
      <c r="AE115" s="156">
        <v>966.66666666666674</v>
      </c>
      <c r="AF115" s="160">
        <f t="shared" si="26"/>
        <v>478.02083333333303</v>
      </c>
    </row>
    <row r="116" spans="1:32" ht="36.75" customHeight="1" x14ac:dyDescent="0.25">
      <c r="A116" s="152">
        <f t="shared" si="27"/>
        <v>114</v>
      </c>
      <c r="B116" s="154" t="s">
        <v>544</v>
      </c>
      <c r="C116" s="176" t="s">
        <v>545</v>
      </c>
      <c r="D116" s="154">
        <v>1000</v>
      </c>
      <c r="E116" s="155">
        <v>700</v>
      </c>
      <c r="F116" s="156">
        <v>100</v>
      </c>
      <c r="G116" s="156">
        <v>200</v>
      </c>
      <c r="H116" s="157">
        <f t="shared" si="24"/>
        <v>1000</v>
      </c>
      <c r="I116" s="152">
        <v>30</v>
      </c>
      <c r="J116" s="158">
        <v>0</v>
      </c>
      <c r="K116" s="152">
        <f t="shared" si="16"/>
        <v>30</v>
      </c>
      <c r="L116" s="156">
        <f t="shared" si="17"/>
        <v>700</v>
      </c>
      <c r="M116" s="152">
        <v>50</v>
      </c>
      <c r="N116" s="156">
        <f t="shared" si="18"/>
        <v>182.29166666666666</v>
      </c>
      <c r="O116" s="152">
        <v>34.5</v>
      </c>
      <c r="P116" s="156">
        <f t="shared" si="25"/>
        <v>125.78125</v>
      </c>
      <c r="Q116" s="152">
        <v>23</v>
      </c>
      <c r="R116" s="156">
        <f t="shared" si="19"/>
        <v>100.625</v>
      </c>
      <c r="S116" s="156">
        <v>6.5</v>
      </c>
      <c r="T116" s="156">
        <f t="shared" si="20"/>
        <v>47.395833333333329</v>
      </c>
      <c r="U116" s="152">
        <f t="shared" si="21"/>
        <v>30</v>
      </c>
      <c r="V116" s="156">
        <f>G116/I116*U116</f>
        <v>200</v>
      </c>
      <c r="W116" s="156">
        <v>0</v>
      </c>
      <c r="X116" s="152">
        <f t="shared" si="15"/>
        <v>0</v>
      </c>
      <c r="Y116" s="156">
        <f t="shared" si="22"/>
        <v>100</v>
      </c>
      <c r="Z116" s="154">
        <v>50</v>
      </c>
      <c r="AA116" s="154"/>
      <c r="AB116" s="157">
        <f t="shared" si="23"/>
        <v>1506.0937499999998</v>
      </c>
      <c r="AC116" s="154"/>
      <c r="AD116" s="159"/>
      <c r="AE116" s="156">
        <v>1000.0000000000001</v>
      </c>
      <c r="AF116" s="160">
        <f t="shared" si="26"/>
        <v>506.09374999999966</v>
      </c>
    </row>
    <row r="117" spans="1:32" ht="30.75" customHeight="1" x14ac:dyDescent="0.25">
      <c r="A117" s="152">
        <f t="shared" si="27"/>
        <v>115</v>
      </c>
      <c r="B117" s="154" t="s">
        <v>546</v>
      </c>
      <c r="C117" s="176" t="s">
        <v>547</v>
      </c>
      <c r="D117" s="154">
        <v>1000</v>
      </c>
      <c r="E117" s="155">
        <v>700</v>
      </c>
      <c r="F117" s="156">
        <v>100</v>
      </c>
      <c r="G117" s="156">
        <v>200</v>
      </c>
      <c r="H117" s="157">
        <f t="shared" si="24"/>
        <v>1000</v>
      </c>
      <c r="I117" s="152">
        <v>30</v>
      </c>
      <c r="J117" s="158">
        <v>1</v>
      </c>
      <c r="K117" s="152">
        <f t="shared" si="16"/>
        <v>29</v>
      </c>
      <c r="L117" s="156">
        <f t="shared" si="17"/>
        <v>676.66666666666663</v>
      </c>
      <c r="M117" s="152">
        <v>46</v>
      </c>
      <c r="N117" s="156">
        <f t="shared" si="18"/>
        <v>167.70833333333331</v>
      </c>
      <c r="O117" s="152">
        <v>0</v>
      </c>
      <c r="P117" s="156">
        <f t="shared" si="25"/>
        <v>0</v>
      </c>
      <c r="Q117" s="152">
        <v>0</v>
      </c>
      <c r="R117" s="156">
        <f t="shared" si="19"/>
        <v>0</v>
      </c>
      <c r="S117" s="156">
        <v>0</v>
      </c>
      <c r="T117" s="156">
        <f t="shared" si="20"/>
        <v>0</v>
      </c>
      <c r="U117" s="152">
        <f t="shared" si="21"/>
        <v>29</v>
      </c>
      <c r="V117" s="163">
        <v>0</v>
      </c>
      <c r="W117" s="156">
        <v>0</v>
      </c>
      <c r="X117" s="152">
        <f t="shared" si="15"/>
        <v>0</v>
      </c>
      <c r="Y117" s="156">
        <f t="shared" si="22"/>
        <v>96.666666666666671</v>
      </c>
      <c r="Z117" s="154">
        <v>0</v>
      </c>
      <c r="AA117" s="154">
        <v>13</v>
      </c>
      <c r="AB117" s="157">
        <f t="shared" si="23"/>
        <v>928.04166666666663</v>
      </c>
      <c r="AC117" s="154"/>
      <c r="AD117" s="159" t="s">
        <v>578</v>
      </c>
      <c r="AE117" s="156">
        <v>850</v>
      </c>
      <c r="AF117" s="160">
        <f t="shared" si="26"/>
        <v>78.041666666666629</v>
      </c>
    </row>
    <row r="118" spans="1:32" ht="15" x14ac:dyDescent="0.25">
      <c r="A118" s="152">
        <f t="shared" si="27"/>
        <v>116</v>
      </c>
      <c r="B118" s="154" t="s">
        <v>548</v>
      </c>
      <c r="C118" s="176" t="s">
        <v>549</v>
      </c>
      <c r="D118" s="154">
        <v>1000</v>
      </c>
      <c r="E118" s="155">
        <v>700</v>
      </c>
      <c r="F118" s="156">
        <v>100</v>
      </c>
      <c r="G118" s="156">
        <v>200</v>
      </c>
      <c r="H118" s="157">
        <f t="shared" si="24"/>
        <v>1000</v>
      </c>
      <c r="I118" s="152">
        <v>30</v>
      </c>
      <c r="J118" s="158">
        <v>0</v>
      </c>
      <c r="K118" s="152">
        <f t="shared" si="16"/>
        <v>30</v>
      </c>
      <c r="L118" s="156">
        <f t="shared" si="17"/>
        <v>700</v>
      </c>
      <c r="M118" s="152">
        <v>50</v>
      </c>
      <c r="N118" s="156">
        <f t="shared" si="18"/>
        <v>182.29166666666666</v>
      </c>
      <c r="O118" s="152">
        <v>52.5</v>
      </c>
      <c r="P118" s="156">
        <f t="shared" si="25"/>
        <v>191.40625</v>
      </c>
      <c r="Q118" s="152">
        <v>21</v>
      </c>
      <c r="R118" s="156">
        <f t="shared" si="19"/>
        <v>91.875</v>
      </c>
      <c r="S118" s="156">
        <v>12</v>
      </c>
      <c r="T118" s="156">
        <f t="shared" si="20"/>
        <v>87.5</v>
      </c>
      <c r="U118" s="152">
        <f t="shared" si="21"/>
        <v>30</v>
      </c>
      <c r="V118" s="156">
        <f t="shared" ref="V118:V125" si="30">G118/I118*U118</f>
        <v>200</v>
      </c>
      <c r="W118" s="156">
        <v>0</v>
      </c>
      <c r="X118" s="152">
        <f t="shared" si="15"/>
        <v>0</v>
      </c>
      <c r="Y118" s="156">
        <f t="shared" si="22"/>
        <v>100</v>
      </c>
      <c r="Z118" s="154">
        <v>25</v>
      </c>
      <c r="AA118" s="154"/>
      <c r="AB118" s="157">
        <f t="shared" si="23"/>
        <v>1578.0729166666665</v>
      </c>
      <c r="AC118" s="154"/>
      <c r="AD118" s="159"/>
      <c r="AE118" s="156">
        <v>966.66666666666674</v>
      </c>
      <c r="AF118" s="160">
        <f t="shared" si="26"/>
        <v>611.40624999999977</v>
      </c>
    </row>
    <row r="119" spans="1:32" ht="24.95" customHeight="1" x14ac:dyDescent="0.25">
      <c r="A119" s="152">
        <f t="shared" si="27"/>
        <v>117</v>
      </c>
      <c r="B119" s="154" t="s">
        <v>550</v>
      </c>
      <c r="C119" s="176" t="s">
        <v>551</v>
      </c>
      <c r="D119" s="154">
        <v>1000</v>
      </c>
      <c r="E119" s="155">
        <v>700</v>
      </c>
      <c r="F119" s="156">
        <v>100</v>
      </c>
      <c r="G119" s="156">
        <v>200</v>
      </c>
      <c r="H119" s="157">
        <f t="shared" si="24"/>
        <v>1000</v>
      </c>
      <c r="I119" s="152">
        <v>30</v>
      </c>
      <c r="J119" s="158">
        <v>1</v>
      </c>
      <c r="K119" s="152">
        <f t="shared" si="16"/>
        <v>29</v>
      </c>
      <c r="L119" s="156">
        <f t="shared" si="17"/>
        <v>676.66666666666663</v>
      </c>
      <c r="M119" s="152">
        <v>40</v>
      </c>
      <c r="N119" s="156">
        <f t="shared" si="18"/>
        <v>145.83333333333331</v>
      </c>
      <c r="O119" s="152">
        <v>43.5</v>
      </c>
      <c r="P119" s="156">
        <f t="shared" si="25"/>
        <v>158.59375</v>
      </c>
      <c r="Q119" s="152">
        <v>13</v>
      </c>
      <c r="R119" s="156">
        <f t="shared" si="19"/>
        <v>56.875</v>
      </c>
      <c r="S119" s="156">
        <v>0</v>
      </c>
      <c r="T119" s="156">
        <f t="shared" si="20"/>
        <v>0</v>
      </c>
      <c r="U119" s="152">
        <f t="shared" si="21"/>
        <v>29</v>
      </c>
      <c r="V119" s="156">
        <f t="shared" si="30"/>
        <v>193.33333333333334</v>
      </c>
      <c r="W119" s="156">
        <v>0</v>
      </c>
      <c r="X119" s="152">
        <f t="shared" si="15"/>
        <v>0</v>
      </c>
      <c r="Y119" s="156">
        <f t="shared" si="22"/>
        <v>96.666666666666671</v>
      </c>
      <c r="Z119" s="154">
        <v>25</v>
      </c>
      <c r="AA119" s="154"/>
      <c r="AB119" s="157">
        <f t="shared" si="23"/>
        <v>1352.96875</v>
      </c>
      <c r="AC119" s="154"/>
      <c r="AD119" s="159"/>
      <c r="AE119" s="156">
        <v>1000.0000000000001</v>
      </c>
      <c r="AF119" s="160">
        <f t="shared" si="26"/>
        <v>352.96874999999989</v>
      </c>
    </row>
    <row r="120" spans="1:32" ht="24.95" customHeight="1" x14ac:dyDescent="0.25">
      <c r="A120" s="152">
        <f t="shared" si="27"/>
        <v>118</v>
      </c>
      <c r="B120" s="154" t="s">
        <v>560</v>
      </c>
      <c r="C120" s="176" t="s">
        <v>581</v>
      </c>
      <c r="D120" s="154">
        <v>1000</v>
      </c>
      <c r="E120" s="155">
        <v>700</v>
      </c>
      <c r="F120" s="156">
        <v>100</v>
      </c>
      <c r="G120" s="156">
        <v>200</v>
      </c>
      <c r="H120" s="157">
        <f t="shared" si="24"/>
        <v>1000</v>
      </c>
      <c r="I120" s="152">
        <v>30</v>
      </c>
      <c r="J120" s="158">
        <v>0</v>
      </c>
      <c r="K120" s="152">
        <f t="shared" si="16"/>
        <v>30</v>
      </c>
      <c r="L120" s="156">
        <f t="shared" si="17"/>
        <v>700</v>
      </c>
      <c r="M120" s="152">
        <v>50</v>
      </c>
      <c r="N120" s="156">
        <f t="shared" si="18"/>
        <v>182.29166666666666</v>
      </c>
      <c r="O120" s="152">
        <v>49</v>
      </c>
      <c r="P120" s="156">
        <f t="shared" si="25"/>
        <v>178.64583333333331</v>
      </c>
      <c r="Q120" s="152">
        <v>9</v>
      </c>
      <c r="R120" s="156">
        <f t="shared" si="19"/>
        <v>39.375</v>
      </c>
      <c r="S120" s="156">
        <v>0</v>
      </c>
      <c r="T120" s="156">
        <f t="shared" si="20"/>
        <v>0</v>
      </c>
      <c r="U120" s="152">
        <f t="shared" si="21"/>
        <v>30</v>
      </c>
      <c r="V120" s="156">
        <f t="shared" si="30"/>
        <v>200</v>
      </c>
      <c r="W120" s="156">
        <v>0</v>
      </c>
      <c r="X120" s="152">
        <f t="shared" ref="X120:X125" si="31">W120/I120*K120</f>
        <v>0</v>
      </c>
      <c r="Y120" s="156">
        <f t="shared" si="22"/>
        <v>100</v>
      </c>
      <c r="Z120" s="154">
        <v>0</v>
      </c>
      <c r="AA120" s="154">
        <v>176</v>
      </c>
      <c r="AB120" s="157">
        <f t="shared" si="23"/>
        <v>1224.3125</v>
      </c>
      <c r="AC120" s="154"/>
      <c r="AD120" s="159" t="s">
        <v>578</v>
      </c>
      <c r="AE120" s="156">
        <v>1000.0000000000001</v>
      </c>
      <c r="AF120" s="160">
        <f t="shared" si="26"/>
        <v>224.31249999999989</v>
      </c>
    </row>
    <row r="121" spans="1:32" ht="63.75" x14ac:dyDescent="0.25">
      <c r="A121" s="152">
        <f t="shared" si="27"/>
        <v>119</v>
      </c>
      <c r="B121" s="154" t="s">
        <v>562</v>
      </c>
      <c r="C121" s="176" t="s">
        <v>563</v>
      </c>
      <c r="D121" s="154">
        <v>1000</v>
      </c>
      <c r="E121" s="155">
        <v>700</v>
      </c>
      <c r="F121" s="156">
        <v>100</v>
      </c>
      <c r="G121" s="156">
        <v>200</v>
      </c>
      <c r="H121" s="157">
        <f t="shared" si="24"/>
        <v>1000</v>
      </c>
      <c r="I121" s="152">
        <v>30</v>
      </c>
      <c r="J121" s="158">
        <v>0</v>
      </c>
      <c r="K121" s="152">
        <f t="shared" si="16"/>
        <v>30</v>
      </c>
      <c r="L121" s="156">
        <f t="shared" si="17"/>
        <v>700</v>
      </c>
      <c r="M121" s="152">
        <v>50</v>
      </c>
      <c r="N121" s="156">
        <f t="shared" si="18"/>
        <v>182.29166666666666</v>
      </c>
      <c r="O121" s="152">
        <v>53</v>
      </c>
      <c r="P121" s="156">
        <f t="shared" si="25"/>
        <v>193.22916666666663</v>
      </c>
      <c r="Q121" s="152">
        <v>15</v>
      </c>
      <c r="R121" s="156">
        <f t="shared" si="19"/>
        <v>65.625</v>
      </c>
      <c r="S121" s="156">
        <v>6</v>
      </c>
      <c r="T121" s="156">
        <f t="shared" si="20"/>
        <v>43.75</v>
      </c>
      <c r="U121" s="152">
        <f t="shared" si="21"/>
        <v>30</v>
      </c>
      <c r="V121" s="156">
        <f t="shared" si="30"/>
        <v>200</v>
      </c>
      <c r="W121" s="156">
        <v>0</v>
      </c>
      <c r="X121" s="152">
        <f t="shared" si="31"/>
        <v>0</v>
      </c>
      <c r="Y121" s="156">
        <f t="shared" si="22"/>
        <v>100</v>
      </c>
      <c r="Z121" s="154">
        <v>25</v>
      </c>
      <c r="AA121" s="154">
        <v>176</v>
      </c>
      <c r="AB121" s="157">
        <f t="shared" si="23"/>
        <v>1333.8958333333333</v>
      </c>
      <c r="AC121" s="154"/>
      <c r="AD121" s="159" t="s">
        <v>578</v>
      </c>
      <c r="AE121" s="156">
        <v>1000.0000000000001</v>
      </c>
      <c r="AF121" s="160">
        <f t="shared" si="26"/>
        <v>333.89583333333314</v>
      </c>
    </row>
    <row r="122" spans="1:32" ht="63.75" x14ac:dyDescent="0.25">
      <c r="A122" s="152">
        <f t="shared" si="27"/>
        <v>120</v>
      </c>
      <c r="B122" s="154" t="s">
        <v>564</v>
      </c>
      <c r="C122" s="176" t="s">
        <v>565</v>
      </c>
      <c r="D122" s="154">
        <v>1000</v>
      </c>
      <c r="E122" s="155">
        <v>700</v>
      </c>
      <c r="F122" s="156">
        <v>100</v>
      </c>
      <c r="G122" s="156">
        <v>200</v>
      </c>
      <c r="H122" s="157">
        <f t="shared" si="24"/>
        <v>1000</v>
      </c>
      <c r="I122" s="152">
        <v>30</v>
      </c>
      <c r="J122" s="158">
        <v>0</v>
      </c>
      <c r="K122" s="152">
        <f t="shared" si="16"/>
        <v>30</v>
      </c>
      <c r="L122" s="156">
        <f t="shared" si="17"/>
        <v>700</v>
      </c>
      <c r="M122" s="152">
        <v>50</v>
      </c>
      <c r="N122" s="156">
        <f t="shared" si="18"/>
        <v>182.29166666666666</v>
      </c>
      <c r="O122" s="152">
        <v>84</v>
      </c>
      <c r="P122" s="156">
        <f t="shared" si="25"/>
        <v>306.25</v>
      </c>
      <c r="Q122" s="152">
        <v>22</v>
      </c>
      <c r="R122" s="156">
        <f t="shared" si="19"/>
        <v>96.249999999999986</v>
      </c>
      <c r="S122" s="156">
        <v>0</v>
      </c>
      <c r="T122" s="156">
        <f t="shared" si="20"/>
        <v>0</v>
      </c>
      <c r="U122" s="152">
        <f t="shared" si="21"/>
        <v>30</v>
      </c>
      <c r="V122" s="156">
        <f t="shared" si="30"/>
        <v>200</v>
      </c>
      <c r="W122" s="156">
        <v>0</v>
      </c>
      <c r="X122" s="152">
        <f t="shared" si="31"/>
        <v>0</v>
      </c>
      <c r="Y122" s="156">
        <f t="shared" si="22"/>
        <v>100</v>
      </c>
      <c r="Z122" s="154">
        <v>50</v>
      </c>
      <c r="AA122" s="154">
        <v>176</v>
      </c>
      <c r="AB122" s="157">
        <f t="shared" si="23"/>
        <v>1458.7916666666665</v>
      </c>
      <c r="AC122" s="154"/>
      <c r="AD122" s="159" t="s">
        <v>578</v>
      </c>
      <c r="AE122" s="156">
        <v>1000.0000000000001</v>
      </c>
      <c r="AF122" s="160">
        <f t="shared" si="26"/>
        <v>458.7916666666664</v>
      </c>
    </row>
    <row r="123" spans="1:32" ht="63.75" x14ac:dyDescent="0.25">
      <c r="A123" s="152">
        <f t="shared" si="27"/>
        <v>121</v>
      </c>
      <c r="B123" s="154" t="s">
        <v>566</v>
      </c>
      <c r="C123" s="176" t="s">
        <v>567</v>
      </c>
      <c r="D123" s="154">
        <v>1000</v>
      </c>
      <c r="E123" s="155">
        <v>700</v>
      </c>
      <c r="F123" s="156">
        <v>100</v>
      </c>
      <c r="G123" s="156">
        <v>200</v>
      </c>
      <c r="H123" s="157">
        <f t="shared" si="24"/>
        <v>1000</v>
      </c>
      <c r="I123" s="152">
        <v>30</v>
      </c>
      <c r="J123" s="158">
        <v>0</v>
      </c>
      <c r="K123" s="152">
        <f t="shared" si="16"/>
        <v>30</v>
      </c>
      <c r="L123" s="156">
        <f t="shared" si="17"/>
        <v>700</v>
      </c>
      <c r="M123" s="152">
        <v>50</v>
      </c>
      <c r="N123" s="156">
        <f t="shared" si="18"/>
        <v>182.29166666666666</v>
      </c>
      <c r="O123" s="152">
        <v>44</v>
      </c>
      <c r="P123" s="156">
        <f t="shared" si="25"/>
        <v>160.41666666666663</v>
      </c>
      <c r="Q123" s="152">
        <v>15</v>
      </c>
      <c r="R123" s="156">
        <f t="shared" si="19"/>
        <v>65.625</v>
      </c>
      <c r="S123" s="156">
        <v>6</v>
      </c>
      <c r="T123" s="156">
        <f t="shared" si="20"/>
        <v>43.75</v>
      </c>
      <c r="U123" s="152">
        <f t="shared" si="21"/>
        <v>30</v>
      </c>
      <c r="V123" s="156">
        <f t="shared" si="30"/>
        <v>200</v>
      </c>
      <c r="W123" s="156">
        <v>0</v>
      </c>
      <c r="X123" s="152">
        <f t="shared" si="31"/>
        <v>0</v>
      </c>
      <c r="Y123" s="156">
        <f t="shared" si="22"/>
        <v>100</v>
      </c>
      <c r="Z123" s="154">
        <v>25</v>
      </c>
      <c r="AA123" s="154">
        <v>176</v>
      </c>
      <c r="AB123" s="157">
        <f t="shared" si="23"/>
        <v>1301.0833333333333</v>
      </c>
      <c r="AC123" s="154"/>
      <c r="AD123" s="159" t="s">
        <v>578</v>
      </c>
      <c r="AE123" s="156">
        <v>1000.0000000000001</v>
      </c>
      <c r="AF123" s="160">
        <f t="shared" si="26"/>
        <v>301.08333333333314</v>
      </c>
    </row>
    <row r="124" spans="1:32" ht="63.75" x14ac:dyDescent="0.25">
      <c r="A124" s="152">
        <f t="shared" si="27"/>
        <v>122</v>
      </c>
      <c r="B124" s="154" t="s">
        <v>568</v>
      </c>
      <c r="C124" s="176" t="s">
        <v>561</v>
      </c>
      <c r="D124" s="154">
        <v>1000</v>
      </c>
      <c r="E124" s="155">
        <v>700</v>
      </c>
      <c r="F124" s="156">
        <v>100</v>
      </c>
      <c r="G124" s="156">
        <v>200</v>
      </c>
      <c r="H124" s="157">
        <f t="shared" si="24"/>
        <v>1000</v>
      </c>
      <c r="I124" s="152">
        <v>30</v>
      </c>
      <c r="J124" s="158">
        <v>0</v>
      </c>
      <c r="K124" s="152">
        <f t="shared" si="16"/>
        <v>30</v>
      </c>
      <c r="L124" s="156">
        <f t="shared" si="17"/>
        <v>700</v>
      </c>
      <c r="M124" s="152">
        <v>50</v>
      </c>
      <c r="N124" s="156">
        <f t="shared" si="18"/>
        <v>182.29166666666666</v>
      </c>
      <c r="O124" s="152">
        <v>0</v>
      </c>
      <c r="P124" s="156">
        <f t="shared" si="25"/>
        <v>0</v>
      </c>
      <c r="Q124" s="152">
        <v>0</v>
      </c>
      <c r="R124" s="156">
        <f t="shared" si="19"/>
        <v>0</v>
      </c>
      <c r="S124" s="156">
        <v>0</v>
      </c>
      <c r="T124" s="156">
        <f t="shared" si="20"/>
        <v>0</v>
      </c>
      <c r="U124" s="152">
        <f t="shared" si="21"/>
        <v>30</v>
      </c>
      <c r="V124" s="156">
        <f t="shared" si="30"/>
        <v>200</v>
      </c>
      <c r="W124" s="156">
        <v>0</v>
      </c>
      <c r="X124" s="152">
        <f t="shared" si="31"/>
        <v>0</v>
      </c>
      <c r="Y124" s="156">
        <f t="shared" si="22"/>
        <v>100</v>
      </c>
      <c r="Z124" s="154">
        <v>0</v>
      </c>
      <c r="AA124" s="154">
        <v>76</v>
      </c>
      <c r="AB124" s="157">
        <f t="shared" si="23"/>
        <v>1106.2916666666665</v>
      </c>
      <c r="AC124" s="154"/>
      <c r="AD124" s="159" t="s">
        <v>578</v>
      </c>
      <c r="AE124" s="156">
        <v>1000.0000000000001</v>
      </c>
      <c r="AF124" s="160">
        <f t="shared" si="26"/>
        <v>106.2916666666664</v>
      </c>
    </row>
    <row r="125" spans="1:32" ht="17.25" x14ac:dyDescent="0.25">
      <c r="A125" s="138">
        <v>123</v>
      </c>
      <c r="B125" s="125" t="s">
        <v>336</v>
      </c>
      <c r="C125" s="141" t="s">
        <v>579</v>
      </c>
      <c r="D125" s="125"/>
      <c r="E125" s="126">
        <v>700</v>
      </c>
      <c r="F125" s="139">
        <v>100</v>
      </c>
      <c r="G125" s="139">
        <v>200</v>
      </c>
      <c r="H125" s="144">
        <f t="shared" si="24"/>
        <v>1000</v>
      </c>
      <c r="I125" s="138">
        <v>30</v>
      </c>
      <c r="J125" s="180">
        <v>30</v>
      </c>
      <c r="K125" s="138">
        <f t="shared" si="16"/>
        <v>0</v>
      </c>
      <c r="L125" s="139"/>
      <c r="M125" s="138">
        <v>0</v>
      </c>
      <c r="N125" s="139">
        <f t="shared" si="18"/>
        <v>0</v>
      </c>
      <c r="O125" s="138">
        <v>0</v>
      </c>
      <c r="P125" s="139">
        <f t="shared" si="25"/>
        <v>0</v>
      </c>
      <c r="Q125" s="138">
        <v>0</v>
      </c>
      <c r="R125" s="139">
        <f t="shared" si="19"/>
        <v>0</v>
      </c>
      <c r="S125" s="139">
        <v>0</v>
      </c>
      <c r="T125" s="139">
        <f t="shared" si="20"/>
        <v>0</v>
      </c>
      <c r="U125" s="138">
        <f t="shared" si="21"/>
        <v>0</v>
      </c>
      <c r="V125" s="139">
        <f t="shared" si="30"/>
        <v>0</v>
      </c>
      <c r="W125" s="139">
        <v>0</v>
      </c>
      <c r="X125" s="138">
        <f t="shared" si="31"/>
        <v>0</v>
      </c>
      <c r="Y125" s="139">
        <f t="shared" si="22"/>
        <v>0</v>
      </c>
      <c r="Z125" s="125">
        <v>0</v>
      </c>
      <c r="AA125" s="125"/>
      <c r="AB125" s="144">
        <f t="shared" si="23"/>
        <v>0</v>
      </c>
      <c r="AC125" s="125"/>
      <c r="AD125" s="140"/>
      <c r="AE125" s="139">
        <v>0</v>
      </c>
      <c r="AF125" s="145">
        <f t="shared" si="26"/>
        <v>0</v>
      </c>
    </row>
    <row r="126" spans="1:32" x14ac:dyDescent="0.3">
      <c r="A126" s="142"/>
      <c r="B126" s="142"/>
      <c r="C126" s="137"/>
      <c r="D126" s="137"/>
      <c r="E126" s="137">
        <f t="shared" ref="E126:J126" si="32">SUM(E3:E125)</f>
        <v>92200</v>
      </c>
      <c r="F126" s="137">
        <f t="shared" si="32"/>
        <v>18600</v>
      </c>
      <c r="G126" s="137">
        <f t="shared" si="32"/>
        <v>24600</v>
      </c>
      <c r="H126" s="137">
        <f t="shared" si="32"/>
        <v>135400</v>
      </c>
      <c r="I126" s="137">
        <f t="shared" si="32"/>
        <v>3690</v>
      </c>
      <c r="J126" s="137">
        <f t="shared" si="32"/>
        <v>350</v>
      </c>
      <c r="K126" s="137">
        <f t="shared" ref="K126:AF126" si="33">SUM(K3:K124)</f>
        <v>3340</v>
      </c>
      <c r="L126" s="137">
        <f t="shared" si="33"/>
        <v>83356.666666666715</v>
      </c>
      <c r="M126" s="137">
        <f t="shared" si="33"/>
        <v>5454</v>
      </c>
      <c r="N126" s="137">
        <f>SUM(N3:N125)</f>
        <v>21272.916666666672</v>
      </c>
      <c r="O126" s="146">
        <f t="shared" si="33"/>
        <v>2846</v>
      </c>
      <c r="P126" s="137">
        <f>SUM(P3:P125)</f>
        <v>11083.072916666666</v>
      </c>
      <c r="Q126" s="137">
        <f t="shared" si="33"/>
        <v>1451</v>
      </c>
      <c r="R126" s="137">
        <f>SUM(R3:R125)</f>
        <v>6849.375</v>
      </c>
      <c r="S126" s="137">
        <f t="shared" si="33"/>
        <v>500</v>
      </c>
      <c r="T126" s="137">
        <f>SUM(T3:T125)</f>
        <v>3939.5833333333367</v>
      </c>
      <c r="U126" s="137">
        <f t="shared" si="33"/>
        <v>3340</v>
      </c>
      <c r="V126" s="137">
        <f>SUM(V3:V124)</f>
        <v>17504.888888888891</v>
      </c>
      <c r="W126" s="137">
        <f>SUM(W3:W125)</f>
        <v>5000</v>
      </c>
      <c r="X126" s="137">
        <f t="shared" si="33"/>
        <v>3500</v>
      </c>
      <c r="Y126" s="137">
        <f t="shared" si="33"/>
        <v>16930</v>
      </c>
      <c r="Z126" s="137">
        <f t="shared" si="33"/>
        <v>2454</v>
      </c>
      <c r="AA126" s="137">
        <f t="shared" si="33"/>
        <v>1656</v>
      </c>
      <c r="AB126" s="137">
        <f>SUM(AB3:AB125)</f>
        <v>165234.50347222228</v>
      </c>
      <c r="AC126" s="137">
        <f t="shared" si="33"/>
        <v>0</v>
      </c>
      <c r="AD126" s="137">
        <f t="shared" si="33"/>
        <v>0</v>
      </c>
      <c r="AE126" s="137">
        <f>SUM(AE3:AE125)</f>
        <v>93017.333333333343</v>
      </c>
      <c r="AF126" s="137">
        <f t="shared" si="33"/>
        <v>72440.503472222204</v>
      </c>
    </row>
  </sheetData>
  <autoFilter ref="A2:AB2" xr:uid="{D7162727-2AE5-4344-BC5D-5DAFD9702DBB}"/>
  <sortState xmlns:xlrd2="http://schemas.microsoft.com/office/spreadsheetml/2017/richdata2" ref="A4:AB120">
    <sortCondition ref="A4:A120"/>
  </sortState>
  <mergeCells count="1">
    <mergeCell ref="A1:AA1"/>
  </mergeCells>
  <conditionalFormatting sqref="B110:B113 B61:C61 B72:C109 B62:B71 B60 B3:C59 B115:B125">
    <cfRule type="duplicateValues" dxfId="42" priority="2"/>
  </conditionalFormatting>
  <conditionalFormatting sqref="B114">
    <cfRule type="duplicateValues" dxfId="41" priority="1"/>
  </conditionalFormatting>
  <dataValidations count="1">
    <dataValidation allowBlank="1" showInputMessage="1" showErrorMessage="1" errorTitle="First Name" error="Please type correct value" promptTitle="First Name" prompt="Please enter maximum 15 Letter, not allowed to leave it blank or to use only - or ." sqref="C101:C104 C106:C110 C62:C66 B121:C123 C112:C125" xr:uid="{E9BD4774-686F-4085-823D-E809F8A7262B}"/>
  </dataValidation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02DD7-D063-46E8-A728-5C261E59C26E}">
  <dimension ref="B7:K39"/>
  <sheetViews>
    <sheetView topLeftCell="A10" workbookViewId="0">
      <selection activeCell="C22" sqref="C22"/>
    </sheetView>
  </sheetViews>
  <sheetFormatPr defaultRowHeight="15" x14ac:dyDescent="0.25"/>
  <cols>
    <col min="1" max="1" width="3.42578125" bestFit="1" customWidth="1"/>
    <col min="2" max="2" width="24.140625" bestFit="1" customWidth="1"/>
    <col min="3" max="3" width="39.140625" bestFit="1" customWidth="1"/>
    <col min="4" max="4" width="4.42578125" customWidth="1"/>
    <col min="5" max="6" width="3.7109375" customWidth="1"/>
    <col min="7" max="7" width="12.85546875" customWidth="1"/>
    <col min="8" max="8" width="9" bestFit="1" customWidth="1"/>
    <col min="9" max="9" width="3.7109375" customWidth="1"/>
    <col min="10" max="10" width="15.42578125" bestFit="1" customWidth="1"/>
    <col min="11" max="12" width="3.7109375" customWidth="1"/>
    <col min="13" max="13" width="9.28515625" bestFit="1" customWidth="1"/>
    <col min="14" max="20" width="3.7109375" customWidth="1"/>
    <col min="21" max="21" width="8.5703125" bestFit="1" customWidth="1"/>
    <col min="22" max="23" width="10" bestFit="1" customWidth="1"/>
  </cols>
  <sheetData>
    <row r="7" spans="2:11" x14ac:dyDescent="0.25">
      <c r="B7" s="184" t="s">
        <v>516</v>
      </c>
      <c r="C7" s="184"/>
    </row>
    <row r="8" spans="2:11" x14ac:dyDescent="0.25">
      <c r="B8" s="184"/>
      <c r="C8" s="184"/>
    </row>
    <row r="9" spans="2:11" x14ac:dyDescent="0.25">
      <c r="B9" s="185" t="s">
        <v>531</v>
      </c>
      <c r="C9" s="185"/>
    </row>
    <row r="10" spans="2:11" ht="15.75" x14ac:dyDescent="0.25">
      <c r="B10" s="186" t="s">
        <v>580</v>
      </c>
      <c r="C10" s="186"/>
    </row>
    <row r="11" spans="2:11" x14ac:dyDescent="0.25">
      <c r="B11" s="68" t="s">
        <v>1</v>
      </c>
      <c r="C11" s="86" t="s">
        <v>286</v>
      </c>
    </row>
    <row r="12" spans="2:11" x14ac:dyDescent="0.25">
      <c r="B12" s="68" t="s">
        <v>2</v>
      </c>
      <c r="C12" s="69" t="str">
        <f>VLOOKUP(C11,'JUNE Working File  (2)'!B3:C125,2,0)</f>
        <v>Turan Miah Asid Miah</v>
      </c>
    </row>
    <row r="13" spans="2:11" x14ac:dyDescent="0.25">
      <c r="B13" s="68" t="s">
        <v>5</v>
      </c>
      <c r="C13" s="69">
        <f>VLOOKUP(C11,'JUNE Working File  (2)'!B3:E126,4,0)</f>
        <v>700</v>
      </c>
      <c r="G13" s="183" t="s">
        <v>216</v>
      </c>
      <c r="H13" s="183"/>
      <c r="I13" s="183"/>
      <c r="J13" s="183"/>
      <c r="K13" s="183"/>
    </row>
    <row r="14" spans="2:11" x14ac:dyDescent="0.25">
      <c r="B14" s="68" t="s">
        <v>6</v>
      </c>
      <c r="C14" s="69">
        <v>31</v>
      </c>
      <c r="G14" s="47"/>
      <c r="H14" s="47"/>
      <c r="I14" s="47"/>
      <c r="J14" s="47"/>
      <c r="K14" s="47"/>
    </row>
    <row r="15" spans="2:11" x14ac:dyDescent="0.25">
      <c r="B15" s="68" t="s">
        <v>510</v>
      </c>
      <c r="C15" s="87">
        <f>VLOOKUP(C11,'JUNE Working File  (2)'!B3:J126,9,0)</f>
        <v>0</v>
      </c>
      <c r="G15" s="47"/>
      <c r="H15" s="47"/>
      <c r="I15" s="47"/>
      <c r="J15" s="47"/>
      <c r="K15" s="47"/>
    </row>
    <row r="16" spans="2:11" x14ac:dyDescent="0.25">
      <c r="B16" s="68" t="s">
        <v>8</v>
      </c>
      <c r="C16" s="69">
        <f>VLOOKUP(C11,'JUNE Working File  (2)'!B3:K126,10,0)</f>
        <v>30</v>
      </c>
      <c r="G16" s="47"/>
      <c r="H16" s="47" t="s">
        <v>505</v>
      </c>
      <c r="I16" s="47"/>
      <c r="J16" s="47" t="s">
        <v>508</v>
      </c>
      <c r="K16" s="47"/>
    </row>
    <row r="17" spans="2:11" x14ac:dyDescent="0.25">
      <c r="B17" s="68" t="s">
        <v>9</v>
      </c>
      <c r="C17" s="147">
        <f>VLOOKUP(C11,'JUNE Working File  (2)'!B3:L126,11,0)</f>
        <v>700</v>
      </c>
      <c r="G17" s="47" t="s">
        <v>506</v>
      </c>
      <c r="H17" s="47">
        <v>54</v>
      </c>
      <c r="I17" s="47"/>
      <c r="J17" s="182" t="s">
        <v>509</v>
      </c>
      <c r="K17" s="182">
        <v>77</v>
      </c>
    </row>
    <row r="18" spans="2:11" x14ac:dyDescent="0.25">
      <c r="B18" s="68" t="s">
        <v>10</v>
      </c>
      <c r="C18" s="84">
        <f>VLOOKUP(C11,'JUNE Working File  (2)'!B3:M126,12,0)</f>
        <v>50</v>
      </c>
      <c r="G18" s="47" t="s">
        <v>507</v>
      </c>
      <c r="H18" s="47">
        <v>38</v>
      </c>
      <c r="I18" s="47"/>
      <c r="J18" s="182"/>
      <c r="K18" s="182"/>
    </row>
    <row r="19" spans="2:11" x14ac:dyDescent="0.25">
      <c r="B19" s="68" t="s">
        <v>11</v>
      </c>
      <c r="C19" s="147">
        <f>VLOOKUP(C11,'JUNE Working File  (2)'!B3:N126,13,0)</f>
        <v>182.29166666666666</v>
      </c>
      <c r="G19" s="47" t="s">
        <v>504</v>
      </c>
      <c r="H19" s="83">
        <v>18</v>
      </c>
      <c r="I19" s="47"/>
      <c r="J19" s="47" t="s">
        <v>504</v>
      </c>
      <c r="K19" s="83">
        <v>57</v>
      </c>
    </row>
    <row r="20" spans="2:11" x14ac:dyDescent="0.25">
      <c r="B20" s="68" t="s">
        <v>569</v>
      </c>
      <c r="C20" s="84">
        <f>VLOOKUP(C11,'JUNE Working File  (2)'!B3:O126,14,0)</f>
        <v>51</v>
      </c>
      <c r="H20" s="124"/>
      <c r="K20" s="124"/>
    </row>
    <row r="21" spans="2:11" x14ac:dyDescent="0.25">
      <c r="B21" s="68" t="s">
        <v>570</v>
      </c>
      <c r="C21" s="147">
        <f>VLOOKUP(C11,'JUNE Working File  (2)'!B3:P126,15,0)</f>
        <v>185.9375</v>
      </c>
      <c r="H21" s="124"/>
      <c r="K21" s="124"/>
    </row>
    <row r="22" spans="2:11" x14ac:dyDescent="0.25">
      <c r="B22" s="70" t="s">
        <v>14</v>
      </c>
      <c r="C22" s="84">
        <f>VLOOKUP(C11,'JUNE Working File  (2)'!B3:Q126,16,0)</f>
        <v>24.5</v>
      </c>
    </row>
    <row r="23" spans="2:11" x14ac:dyDescent="0.25">
      <c r="B23" s="71" t="s">
        <v>15</v>
      </c>
      <c r="C23" s="148">
        <f>VLOOKUP(C11,'JUNE Working File  (2)'!B3:R126,17,)</f>
        <v>107.1875</v>
      </c>
    </row>
    <row r="24" spans="2:11" x14ac:dyDescent="0.25">
      <c r="B24" s="71" t="s">
        <v>571</v>
      </c>
      <c r="C24" s="84">
        <f>VLOOKUP(C11,'JUNE Working File  (2)'!B3:S126,18,0)</f>
        <v>9.5</v>
      </c>
    </row>
    <row r="25" spans="2:11" x14ac:dyDescent="0.25">
      <c r="B25" s="71" t="s">
        <v>557</v>
      </c>
      <c r="C25" s="148">
        <f>VLOOKUP(C11,'JUNE Working File  (2)'!B3:T126,19,0)</f>
        <v>69.270833333333329</v>
      </c>
    </row>
    <row r="26" spans="2:11" x14ac:dyDescent="0.25">
      <c r="B26" s="68" t="s">
        <v>16</v>
      </c>
      <c r="C26" s="69">
        <f>VLOOKUP(C11,'JUNE Working File  (2)'!B3:U126,20,0)</f>
        <v>30</v>
      </c>
    </row>
    <row r="27" spans="2:11" x14ac:dyDescent="0.25">
      <c r="B27" s="68" t="s">
        <v>17</v>
      </c>
      <c r="C27" s="69">
        <f>VLOOKUP(C11,'JUNE Working File  (2)'!B3:G126,6,0)</f>
        <v>200</v>
      </c>
    </row>
    <row r="28" spans="2:11" x14ac:dyDescent="0.25">
      <c r="B28" s="68" t="s">
        <v>18</v>
      </c>
      <c r="C28" s="147">
        <f>VLOOKUP(C11,'JUNE Working File  (2)'!B3:V126,21,0)</f>
        <v>200</v>
      </c>
    </row>
    <row r="29" spans="2:11" x14ac:dyDescent="0.25">
      <c r="B29" s="68" t="s">
        <v>19</v>
      </c>
      <c r="C29" s="149">
        <f>VLOOKUP(C11,'JUNE Working File  (2)'!B3:X126,23,0)</f>
        <v>0</v>
      </c>
    </row>
    <row r="30" spans="2:11" x14ac:dyDescent="0.25">
      <c r="B30" s="68" t="s">
        <v>20</v>
      </c>
      <c r="C30" s="149">
        <f>VLOOKUP(C11,'JUNE Working File  (2)'!B3:Y126,24,0)</f>
        <v>100</v>
      </c>
    </row>
    <row r="31" spans="2:11" x14ac:dyDescent="0.25">
      <c r="B31" s="68" t="s">
        <v>572</v>
      </c>
      <c r="C31" s="149">
        <f>VLOOKUP(C11,'JUNE Working File  (2)'!B3:Z126,25,0)</f>
        <v>50</v>
      </c>
    </row>
    <row r="32" spans="2:11" s="73" customFormat="1" x14ac:dyDescent="0.25">
      <c r="B32" s="72" t="s">
        <v>22</v>
      </c>
      <c r="C32" s="6">
        <f>VLOOKUP(C11,'JUNE Working File  (2)'!B3:AA126,26,0)</f>
        <v>0</v>
      </c>
      <c r="D32" s="74"/>
    </row>
    <row r="33" spans="2:3" x14ac:dyDescent="0.25">
      <c r="B33" s="68" t="s">
        <v>23</v>
      </c>
      <c r="C33" s="85">
        <f>C17+C19+C21+C23+C25+C27+C29+C30+C31-C32</f>
        <v>1594.6874999999998</v>
      </c>
    </row>
    <row r="34" spans="2:3" x14ac:dyDescent="0.25">
      <c r="B34" s="68" t="s">
        <v>26</v>
      </c>
      <c r="C34" s="150">
        <f>VLOOKUP(C11,'JUNE Working File  (2)'!B3:AE126,30,0)</f>
        <v>700</v>
      </c>
    </row>
    <row r="35" spans="2:3" x14ac:dyDescent="0.25">
      <c r="B35" s="68" t="s">
        <v>412</v>
      </c>
      <c r="C35" s="151">
        <f>VLOOKUP(C11,'JUNE Working File  (2)'!B3:AF126,31,0)</f>
        <v>894.68749999999977</v>
      </c>
    </row>
    <row r="36" spans="2:3" x14ac:dyDescent="0.25">
      <c r="B36" s="68" t="s">
        <v>573</v>
      </c>
      <c r="C36" s="85">
        <f>+C34+C35</f>
        <v>1594.6874999999998</v>
      </c>
    </row>
    <row r="37" spans="2:3" x14ac:dyDescent="0.25">
      <c r="C37" s="33"/>
    </row>
    <row r="38" spans="2:3" ht="15" customHeight="1" x14ac:dyDescent="0.25">
      <c r="B38" s="181"/>
      <c r="C38" s="181"/>
    </row>
    <row r="39" spans="2:3" x14ac:dyDescent="0.25">
      <c r="B39" s="181"/>
      <c r="C39" s="181"/>
    </row>
  </sheetData>
  <mergeCells count="7">
    <mergeCell ref="B38:C39"/>
    <mergeCell ref="J17:J18"/>
    <mergeCell ref="K17:K18"/>
    <mergeCell ref="G13:K13"/>
    <mergeCell ref="B7:C8"/>
    <mergeCell ref="B9:C9"/>
    <mergeCell ref="B10:C1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839A-16F3-487A-BD47-9889F381DD07}">
  <dimension ref="C2:J7"/>
  <sheetViews>
    <sheetView workbookViewId="0">
      <selection activeCell="G16" sqref="G16"/>
    </sheetView>
  </sheetViews>
  <sheetFormatPr defaultRowHeight="15" x14ac:dyDescent="0.25"/>
  <cols>
    <col min="2" max="2" width="23.7109375" bestFit="1" customWidth="1"/>
    <col min="4" max="4" width="9.140625" style="33"/>
    <col min="5" max="5" width="34.42578125" bestFit="1" customWidth="1"/>
    <col min="6" max="6" width="25.85546875" customWidth="1"/>
    <col min="7" max="7" width="19.85546875" bestFit="1" customWidth="1"/>
    <col min="8" max="8" width="12.85546875" bestFit="1" customWidth="1"/>
    <col min="9" max="9" width="14.85546875" customWidth="1"/>
  </cols>
  <sheetData>
    <row r="2" spans="3:10" x14ac:dyDescent="0.25">
      <c r="E2" t="s">
        <v>613</v>
      </c>
    </row>
    <row r="3" spans="3:10" x14ac:dyDescent="0.25">
      <c r="C3" s="82" t="s">
        <v>0</v>
      </c>
      <c r="D3" s="94" t="s">
        <v>1</v>
      </c>
      <c r="E3" s="95"/>
      <c r="F3" s="95"/>
      <c r="G3" s="95" t="s">
        <v>416</v>
      </c>
      <c r="H3" s="95" t="s">
        <v>414</v>
      </c>
      <c r="I3" s="95" t="s">
        <v>415</v>
      </c>
      <c r="J3" s="96" t="s">
        <v>417</v>
      </c>
    </row>
    <row r="4" spans="3:10" ht="45" x14ac:dyDescent="0.25">
      <c r="C4" s="97">
        <v>1</v>
      </c>
      <c r="D4" s="97">
        <v>704</v>
      </c>
      <c r="E4" s="98" t="s">
        <v>611</v>
      </c>
      <c r="F4" s="98" t="s">
        <v>612</v>
      </c>
      <c r="G4" s="97"/>
      <c r="H4" s="97"/>
      <c r="I4" s="97">
        <v>130</v>
      </c>
      <c r="J4" s="99"/>
    </row>
    <row r="5" spans="3:10" x14ac:dyDescent="0.25">
      <c r="C5" s="51">
        <v>2</v>
      </c>
      <c r="D5" s="51"/>
      <c r="E5" s="47"/>
      <c r="F5" s="47"/>
      <c r="G5" s="47"/>
      <c r="H5" s="47"/>
      <c r="I5" s="47"/>
      <c r="J5" s="47"/>
    </row>
    <row r="6" spans="3:10" x14ac:dyDescent="0.25">
      <c r="C6" s="51">
        <v>3</v>
      </c>
      <c r="D6" s="51"/>
      <c r="E6" s="47"/>
      <c r="F6" s="47"/>
      <c r="G6" s="47"/>
      <c r="H6" s="47"/>
      <c r="I6" s="47"/>
      <c r="J6" s="47"/>
    </row>
    <row r="7" spans="3:10" x14ac:dyDescent="0.25">
      <c r="C7" s="7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A262-B97F-4A60-B65B-4D1171BE2FDD}">
  <dimension ref="A1:AJ340"/>
  <sheetViews>
    <sheetView tabSelected="1" topLeftCell="A70" zoomScale="70" zoomScaleNormal="70" workbookViewId="0">
      <selection activeCell="AL82" sqref="AL82"/>
    </sheetView>
  </sheetViews>
  <sheetFormatPr defaultRowHeight="15" x14ac:dyDescent="0.25"/>
  <cols>
    <col min="1" max="1" width="5.5703125" style="33" customWidth="1"/>
    <col min="2" max="2" width="7.7109375" style="76" bestFit="1" customWidth="1"/>
    <col min="3" max="3" width="21" style="111" customWidth="1"/>
    <col min="4" max="5" width="4.5703125" style="89" customWidth="1"/>
    <col min="6" max="6" width="5.28515625" style="89" bestFit="1" customWidth="1"/>
    <col min="7" max="12" width="4.5703125" style="89" customWidth="1"/>
    <col min="13" max="13" width="5.28515625" style="89" customWidth="1"/>
    <col min="14" max="19" width="4.5703125" style="89" customWidth="1"/>
    <col min="20" max="20" width="4.140625" style="89" bestFit="1" customWidth="1"/>
    <col min="21" max="26" width="4.5703125" style="89" customWidth="1"/>
    <col min="27" max="27" width="4.140625" style="89" bestFit="1" customWidth="1"/>
    <col min="28" max="33" width="4.5703125" style="89" customWidth="1"/>
    <col min="34" max="34" width="35.5703125" style="77" bestFit="1" customWidth="1"/>
  </cols>
  <sheetData>
    <row r="1" spans="1:36" ht="15" customHeight="1" x14ac:dyDescent="0.25">
      <c r="A1" s="189"/>
      <c r="B1" s="193"/>
      <c r="C1" s="194" t="s">
        <v>582</v>
      </c>
      <c r="D1" s="195" t="s">
        <v>583</v>
      </c>
      <c r="E1" s="196"/>
      <c r="F1" s="196"/>
      <c r="G1" s="196"/>
      <c r="H1" s="196"/>
      <c r="I1" s="196"/>
      <c r="J1" s="196"/>
      <c r="K1" s="197" t="s">
        <v>584</v>
      </c>
      <c r="L1" s="197"/>
      <c r="M1" s="197"/>
      <c r="N1" s="197"/>
      <c r="O1" s="197"/>
      <c r="P1" s="197"/>
      <c r="Q1" s="197"/>
      <c r="R1" s="198"/>
      <c r="S1" s="199" t="s">
        <v>585</v>
      </c>
      <c r="T1" s="200"/>
      <c r="U1" s="200"/>
      <c r="V1" s="200"/>
      <c r="W1" s="200"/>
      <c r="X1" s="200"/>
      <c r="Y1" s="201"/>
      <c r="Z1" s="202" t="s">
        <v>586</v>
      </c>
      <c r="AA1" s="203"/>
      <c r="AB1" s="203"/>
      <c r="AC1" s="203"/>
      <c r="AD1" s="203"/>
      <c r="AE1" s="204"/>
      <c r="AF1" s="205"/>
      <c r="AG1" s="206"/>
      <c r="AH1" s="206"/>
      <c r="AI1" s="206"/>
      <c r="AJ1" s="207"/>
    </row>
    <row r="2" spans="1:36" ht="15.75" customHeight="1" x14ac:dyDescent="0.25">
      <c r="A2" s="208"/>
      <c r="B2" s="209"/>
      <c r="C2" s="210"/>
      <c r="D2" s="195"/>
      <c r="E2" s="196"/>
      <c r="F2" s="196"/>
      <c r="G2" s="196"/>
      <c r="H2" s="196"/>
      <c r="I2" s="196"/>
      <c r="J2" s="196"/>
      <c r="K2" s="211"/>
      <c r="L2" s="211"/>
      <c r="M2" s="211"/>
      <c r="N2" s="211"/>
      <c r="O2" s="211"/>
      <c r="P2" s="211"/>
      <c r="Q2" s="211"/>
      <c r="R2" s="212"/>
      <c r="S2" s="213"/>
      <c r="T2" s="214"/>
      <c r="U2" s="214"/>
      <c r="V2" s="214"/>
      <c r="W2" s="214"/>
      <c r="X2" s="214"/>
      <c r="Y2" s="215"/>
      <c r="Z2" s="216"/>
      <c r="AA2" s="217"/>
      <c r="AB2" s="217"/>
      <c r="AC2" s="217"/>
      <c r="AD2" s="217"/>
      <c r="AE2" s="218"/>
      <c r="AF2" s="219"/>
      <c r="AG2" s="220"/>
      <c r="AH2" s="220"/>
      <c r="AI2" s="220"/>
      <c r="AJ2" s="221"/>
    </row>
    <row r="3" spans="1:36" ht="36" customHeight="1" x14ac:dyDescent="0.25">
      <c r="A3" s="51"/>
      <c r="B3" s="222"/>
      <c r="C3" s="222"/>
      <c r="D3" s="223" t="s">
        <v>587</v>
      </c>
      <c r="E3" s="223"/>
      <c r="F3" s="224"/>
      <c r="G3" s="225" t="s">
        <v>588</v>
      </c>
      <c r="H3" s="225"/>
      <c r="I3" s="225"/>
      <c r="J3" s="88"/>
      <c r="K3" s="226" t="s">
        <v>424</v>
      </c>
      <c r="L3" s="226"/>
      <c r="M3" s="226"/>
      <c r="N3" s="227"/>
      <c r="O3" s="228" t="s">
        <v>425</v>
      </c>
      <c r="P3" s="228"/>
      <c r="Q3" s="228"/>
      <c r="R3" s="228"/>
      <c r="T3" s="190" t="s">
        <v>423</v>
      </c>
      <c r="U3" s="191"/>
      <c r="V3" s="191"/>
      <c r="W3" s="191"/>
      <c r="X3" s="191"/>
      <c r="Y3" s="192"/>
      <c r="Z3" s="229" t="s">
        <v>589</v>
      </c>
      <c r="AA3" s="229"/>
      <c r="AB3" s="229"/>
      <c r="AC3" s="230"/>
      <c r="AD3" s="219"/>
      <c r="AE3" s="220"/>
      <c r="AF3" s="231"/>
      <c r="AG3" s="231"/>
      <c r="AH3" s="232"/>
    </row>
    <row r="4" spans="1:36" ht="18.75" x14ac:dyDescent="0.3">
      <c r="A4" s="233" t="s">
        <v>422</v>
      </c>
      <c r="B4" s="233" t="s">
        <v>422</v>
      </c>
      <c r="C4" s="234" t="s">
        <v>590</v>
      </c>
      <c r="D4" s="100">
        <v>1</v>
      </c>
      <c r="E4" s="100">
        <v>2</v>
      </c>
      <c r="F4" s="100">
        <v>3</v>
      </c>
      <c r="G4" s="100">
        <v>4</v>
      </c>
      <c r="H4" s="100">
        <v>5</v>
      </c>
      <c r="I4" s="100">
        <v>6</v>
      </c>
      <c r="J4" s="235">
        <v>7</v>
      </c>
      <c r="K4" s="100">
        <v>8</v>
      </c>
      <c r="L4" s="100">
        <v>9</v>
      </c>
      <c r="M4" s="100">
        <v>10</v>
      </c>
      <c r="N4" s="100">
        <v>11</v>
      </c>
      <c r="O4" s="100">
        <v>12</v>
      </c>
      <c r="P4" s="100">
        <v>13</v>
      </c>
      <c r="Q4" s="235">
        <v>14</v>
      </c>
      <c r="R4" s="236">
        <v>15</v>
      </c>
      <c r="S4" s="100">
        <v>16</v>
      </c>
      <c r="T4" s="100">
        <v>17</v>
      </c>
      <c r="U4" s="100">
        <v>18</v>
      </c>
      <c r="V4" s="100">
        <v>19</v>
      </c>
      <c r="W4" s="100">
        <v>20</v>
      </c>
      <c r="X4" s="235">
        <v>21</v>
      </c>
      <c r="Y4" s="100">
        <v>22</v>
      </c>
      <c r="Z4" s="100">
        <v>23</v>
      </c>
      <c r="AA4" s="100">
        <v>24</v>
      </c>
      <c r="AB4" s="100">
        <v>25</v>
      </c>
      <c r="AC4" s="100">
        <v>26</v>
      </c>
      <c r="AD4" s="100">
        <v>27</v>
      </c>
      <c r="AE4" s="235">
        <v>28</v>
      </c>
      <c r="AF4" s="100">
        <v>29</v>
      </c>
      <c r="AG4" s="100">
        <v>30</v>
      </c>
      <c r="AH4" s="112" t="s">
        <v>422</v>
      </c>
    </row>
    <row r="5" spans="1:36" s="33" customFormat="1" ht="15.75" x14ac:dyDescent="0.25">
      <c r="A5" s="237" t="s">
        <v>426</v>
      </c>
      <c r="B5" s="78" t="s">
        <v>1</v>
      </c>
      <c r="C5" s="113" t="s">
        <v>427</v>
      </c>
      <c r="D5" s="100" t="s">
        <v>429</v>
      </c>
      <c r="E5" s="100" t="s">
        <v>430</v>
      </c>
      <c r="F5" s="100" t="s">
        <v>431</v>
      </c>
      <c r="G5" s="100" t="s">
        <v>432</v>
      </c>
      <c r="H5" s="238" t="s">
        <v>433</v>
      </c>
      <c r="I5" s="100" t="s">
        <v>434</v>
      </c>
      <c r="J5" s="239" t="s">
        <v>428</v>
      </c>
      <c r="K5" s="100" t="s">
        <v>429</v>
      </c>
      <c r="L5" s="100" t="s">
        <v>430</v>
      </c>
      <c r="M5" s="100" t="s">
        <v>431</v>
      </c>
      <c r="N5" s="100" t="s">
        <v>432</v>
      </c>
      <c r="O5" s="238" t="s">
        <v>433</v>
      </c>
      <c r="P5" s="100" t="s">
        <v>434</v>
      </c>
      <c r="Q5" s="239" t="s">
        <v>428</v>
      </c>
      <c r="R5" s="236" t="s">
        <v>429</v>
      </c>
      <c r="S5" s="100" t="s">
        <v>430</v>
      </c>
      <c r="T5" s="100" t="s">
        <v>431</v>
      </c>
      <c r="U5" s="100" t="s">
        <v>432</v>
      </c>
      <c r="V5" s="238" t="s">
        <v>433</v>
      </c>
      <c r="W5" s="100" t="s">
        <v>434</v>
      </c>
      <c r="X5" s="239" t="s">
        <v>428</v>
      </c>
      <c r="Y5" s="100" t="s">
        <v>429</v>
      </c>
      <c r="Z5" s="100" t="s">
        <v>430</v>
      </c>
      <c r="AA5" s="100" t="s">
        <v>431</v>
      </c>
      <c r="AB5" s="100" t="s">
        <v>432</v>
      </c>
      <c r="AC5" s="238" t="s">
        <v>433</v>
      </c>
      <c r="AD5" s="100" t="s">
        <v>434</v>
      </c>
      <c r="AE5" s="239" t="s">
        <v>428</v>
      </c>
      <c r="AF5" s="100" t="s">
        <v>429</v>
      </c>
      <c r="AG5" s="100" t="s">
        <v>430</v>
      </c>
      <c r="AH5" s="114" t="s">
        <v>511</v>
      </c>
    </row>
    <row r="6" spans="1:36" ht="15" customHeight="1" x14ac:dyDescent="0.25">
      <c r="A6" s="240">
        <f>ROW()-5</f>
        <v>1</v>
      </c>
      <c r="B6" s="35">
        <v>234</v>
      </c>
      <c r="C6" s="91" t="s">
        <v>438</v>
      </c>
      <c r="D6" s="241" t="s">
        <v>436</v>
      </c>
      <c r="E6" s="241" t="s">
        <v>436</v>
      </c>
      <c r="F6" s="241" t="s">
        <v>436</v>
      </c>
      <c r="G6" s="241" t="s">
        <v>436</v>
      </c>
      <c r="H6" s="241" t="s">
        <v>436</v>
      </c>
      <c r="I6" s="241" t="s">
        <v>436</v>
      </c>
      <c r="J6" s="241" t="s">
        <v>436</v>
      </c>
      <c r="K6" s="241" t="s">
        <v>436</v>
      </c>
      <c r="L6" s="241" t="s">
        <v>436</v>
      </c>
      <c r="M6" s="241" t="s">
        <v>436</v>
      </c>
      <c r="N6" s="241" t="s">
        <v>436</v>
      </c>
      <c r="O6" s="241" t="s">
        <v>436</v>
      </c>
      <c r="P6" s="241" t="s">
        <v>436</v>
      </c>
      <c r="Q6" s="241" t="s">
        <v>436</v>
      </c>
      <c r="R6" s="241" t="s">
        <v>436</v>
      </c>
      <c r="S6" s="241" t="s">
        <v>436</v>
      </c>
      <c r="T6" s="241" t="s">
        <v>436</v>
      </c>
      <c r="U6" s="241" t="s">
        <v>436</v>
      </c>
      <c r="V6" s="241" t="s">
        <v>436</v>
      </c>
      <c r="W6" s="241" t="s">
        <v>436</v>
      </c>
      <c r="X6" s="241" t="s">
        <v>436</v>
      </c>
      <c r="Y6" s="241" t="s">
        <v>436</v>
      </c>
      <c r="Z6" s="241" t="s">
        <v>436</v>
      </c>
      <c r="AA6" s="241" t="s">
        <v>436</v>
      </c>
      <c r="AB6" s="241" t="s">
        <v>436</v>
      </c>
      <c r="AC6" s="241" t="s">
        <v>436</v>
      </c>
      <c r="AD6" s="241" t="s">
        <v>436</v>
      </c>
      <c r="AE6" s="241" t="s">
        <v>436</v>
      </c>
      <c r="AF6" s="241" t="s">
        <v>436</v>
      </c>
      <c r="AG6" s="241" t="s">
        <v>436</v>
      </c>
      <c r="AH6" s="115" t="s">
        <v>591</v>
      </c>
    </row>
    <row r="7" spans="1:36" s="73" customFormat="1" x14ac:dyDescent="0.25">
      <c r="A7" s="240">
        <f>ROW()-5</f>
        <v>2</v>
      </c>
      <c r="B7" s="35">
        <v>250</v>
      </c>
      <c r="C7" s="91" t="s">
        <v>50</v>
      </c>
      <c r="D7" s="241" t="s">
        <v>436</v>
      </c>
      <c r="E7" s="241" t="s">
        <v>436</v>
      </c>
      <c r="F7" s="241" t="s">
        <v>436</v>
      </c>
      <c r="G7" s="241" t="s">
        <v>436</v>
      </c>
      <c r="H7" s="241" t="s">
        <v>436</v>
      </c>
      <c r="I7" s="241" t="s">
        <v>436</v>
      </c>
      <c r="J7" s="241" t="s">
        <v>436</v>
      </c>
      <c r="K7" s="241" t="s">
        <v>436</v>
      </c>
      <c r="L7" s="241" t="s">
        <v>436</v>
      </c>
      <c r="M7" s="241" t="s">
        <v>436</v>
      </c>
      <c r="N7" s="241" t="s">
        <v>436</v>
      </c>
      <c r="O7" s="241" t="s">
        <v>436</v>
      </c>
      <c r="P7" s="241" t="s">
        <v>436</v>
      </c>
      <c r="Q7" s="241" t="s">
        <v>436</v>
      </c>
      <c r="R7" s="241" t="s">
        <v>436</v>
      </c>
      <c r="S7" s="241" t="s">
        <v>436</v>
      </c>
      <c r="T7" s="241" t="s">
        <v>436</v>
      </c>
      <c r="U7" s="241" t="s">
        <v>436</v>
      </c>
      <c r="V7" s="241" t="s">
        <v>436</v>
      </c>
      <c r="W7" s="241" t="s">
        <v>436</v>
      </c>
      <c r="X7" s="241" t="s">
        <v>436</v>
      </c>
      <c r="Y7" s="241" t="s">
        <v>436</v>
      </c>
      <c r="Z7" s="241" t="s">
        <v>436</v>
      </c>
      <c r="AA7" s="241" t="s">
        <v>436</v>
      </c>
      <c r="AB7" s="241" t="s">
        <v>436</v>
      </c>
      <c r="AC7" s="241" t="s">
        <v>436</v>
      </c>
      <c r="AD7" s="241" t="s">
        <v>436</v>
      </c>
      <c r="AE7" s="241" t="s">
        <v>436</v>
      </c>
      <c r="AF7" s="241" t="s">
        <v>436</v>
      </c>
      <c r="AG7" s="241" t="s">
        <v>436</v>
      </c>
      <c r="AH7" s="115" t="s">
        <v>591</v>
      </c>
    </row>
    <row r="8" spans="1:36" s="73" customFormat="1" x14ac:dyDescent="0.25">
      <c r="A8" s="118">
        <f>ROW()-5</f>
        <v>3</v>
      </c>
      <c r="B8" s="242">
        <v>849</v>
      </c>
      <c r="C8" s="92" t="s">
        <v>104</v>
      </c>
      <c r="D8" s="243" t="s">
        <v>436</v>
      </c>
      <c r="E8" s="243" t="s">
        <v>436</v>
      </c>
      <c r="F8" s="243" t="s">
        <v>436</v>
      </c>
      <c r="G8" s="243" t="s">
        <v>436</v>
      </c>
      <c r="H8" s="243" t="s">
        <v>436</v>
      </c>
      <c r="I8" s="243" t="s">
        <v>436</v>
      </c>
      <c r="J8" s="243" t="s">
        <v>436</v>
      </c>
      <c r="K8" s="243" t="s">
        <v>436</v>
      </c>
      <c r="L8" s="243" t="s">
        <v>436</v>
      </c>
      <c r="M8" s="243" t="s">
        <v>436</v>
      </c>
      <c r="N8" s="243" t="s">
        <v>436</v>
      </c>
      <c r="O8" s="243" t="s">
        <v>436</v>
      </c>
      <c r="P8" s="243" t="s">
        <v>436</v>
      </c>
      <c r="Q8" s="243" t="s">
        <v>436</v>
      </c>
      <c r="R8" s="243" t="s">
        <v>436</v>
      </c>
      <c r="S8" s="243" t="s">
        <v>436</v>
      </c>
      <c r="T8" s="244" t="s">
        <v>442</v>
      </c>
      <c r="U8" s="244" t="s">
        <v>442</v>
      </c>
      <c r="V8" s="244" t="s">
        <v>442</v>
      </c>
      <c r="W8" s="244" t="s">
        <v>442</v>
      </c>
      <c r="X8" s="244" t="s">
        <v>442</v>
      </c>
      <c r="Y8" s="244" t="s">
        <v>442</v>
      </c>
      <c r="Z8" s="244" t="s">
        <v>442</v>
      </c>
      <c r="AA8" s="244" t="s">
        <v>442</v>
      </c>
      <c r="AB8" s="244" t="s">
        <v>442</v>
      </c>
      <c r="AC8" s="244" t="s">
        <v>442</v>
      </c>
      <c r="AD8" s="244" t="s">
        <v>442</v>
      </c>
      <c r="AE8" s="244" t="s">
        <v>442</v>
      </c>
      <c r="AF8" s="244" t="s">
        <v>442</v>
      </c>
      <c r="AG8" s="244" t="s">
        <v>442</v>
      </c>
      <c r="AH8" s="117" t="s">
        <v>592</v>
      </c>
    </row>
    <row r="9" spans="1:36" x14ac:dyDescent="0.25">
      <c r="A9" s="240">
        <f>ROW()-5</f>
        <v>4</v>
      </c>
      <c r="B9" s="75" t="s">
        <v>376</v>
      </c>
      <c r="C9" s="92" t="s">
        <v>479</v>
      </c>
      <c r="D9" s="241" t="s">
        <v>436</v>
      </c>
      <c r="E9" s="241" t="s">
        <v>436</v>
      </c>
      <c r="F9" s="241" t="s">
        <v>436</v>
      </c>
      <c r="G9" s="241" t="s">
        <v>436</v>
      </c>
      <c r="H9" s="241" t="s">
        <v>436</v>
      </c>
      <c r="I9" s="241" t="s">
        <v>436</v>
      </c>
      <c r="J9" s="241" t="s">
        <v>436</v>
      </c>
      <c r="K9" s="241" t="s">
        <v>436</v>
      </c>
      <c r="L9" s="241" t="s">
        <v>436</v>
      </c>
      <c r="M9" s="241" t="s">
        <v>436</v>
      </c>
      <c r="N9" s="241" t="s">
        <v>436</v>
      </c>
      <c r="O9" s="241" t="s">
        <v>436</v>
      </c>
      <c r="P9" s="241" t="s">
        <v>436</v>
      </c>
      <c r="Q9" s="241" t="s">
        <v>436</v>
      </c>
      <c r="R9" s="241" t="s">
        <v>436</v>
      </c>
      <c r="S9" s="241" t="s">
        <v>436</v>
      </c>
      <c r="T9" s="241" t="s">
        <v>436</v>
      </c>
      <c r="U9" s="241" t="s">
        <v>436</v>
      </c>
      <c r="V9" s="241" t="s">
        <v>436</v>
      </c>
      <c r="W9" s="241" t="s">
        <v>436</v>
      </c>
      <c r="X9" s="241" t="s">
        <v>436</v>
      </c>
      <c r="Y9" s="241" t="s">
        <v>436</v>
      </c>
      <c r="Z9" s="241" t="s">
        <v>436</v>
      </c>
      <c r="AA9" s="241" t="s">
        <v>436</v>
      </c>
      <c r="AB9" s="241" t="s">
        <v>436</v>
      </c>
      <c r="AC9" s="241" t="s">
        <v>436</v>
      </c>
      <c r="AD9" s="245" t="s">
        <v>436</v>
      </c>
      <c r="AE9" s="245" t="s">
        <v>436</v>
      </c>
      <c r="AF9" s="245" t="s">
        <v>436</v>
      </c>
      <c r="AG9" s="245" t="s">
        <v>436</v>
      </c>
      <c r="AH9" s="115" t="s">
        <v>591</v>
      </c>
    </row>
    <row r="10" spans="1:36" ht="15.75" x14ac:dyDescent="0.25">
      <c r="A10" s="240">
        <f t="shared" ref="A10:A73" si="0">ROW()-5</f>
        <v>5</v>
      </c>
      <c r="B10" s="79">
        <v>189</v>
      </c>
      <c r="C10" s="91" t="s">
        <v>38</v>
      </c>
      <c r="D10" s="246" t="s">
        <v>436</v>
      </c>
      <c r="E10" s="246" t="s">
        <v>436</v>
      </c>
      <c r="F10" s="246" t="s">
        <v>436</v>
      </c>
      <c r="G10" s="246" t="s">
        <v>436</v>
      </c>
      <c r="H10" s="246" t="s">
        <v>436</v>
      </c>
      <c r="I10" s="246" t="s">
        <v>436</v>
      </c>
      <c r="J10" s="246" t="s">
        <v>436</v>
      </c>
      <c r="K10" s="246" t="s">
        <v>436</v>
      </c>
      <c r="L10" s="246" t="s">
        <v>436</v>
      </c>
      <c r="M10" s="246" t="s">
        <v>436</v>
      </c>
      <c r="N10" s="246" t="s">
        <v>436</v>
      </c>
      <c r="O10" s="246" t="s">
        <v>436</v>
      </c>
      <c r="P10" s="246" t="s">
        <v>436</v>
      </c>
      <c r="Q10" s="246" t="s">
        <v>436</v>
      </c>
      <c r="R10" s="246" t="s">
        <v>436</v>
      </c>
      <c r="S10" s="246" t="s">
        <v>436</v>
      </c>
      <c r="T10" s="246" t="s">
        <v>436</v>
      </c>
      <c r="U10" s="246" t="s">
        <v>436</v>
      </c>
      <c r="V10" s="246" t="s">
        <v>436</v>
      </c>
      <c r="W10" s="246" t="s">
        <v>436</v>
      </c>
      <c r="X10" s="246" t="s">
        <v>436</v>
      </c>
      <c r="Y10" s="246" t="s">
        <v>436</v>
      </c>
      <c r="Z10" s="246" t="s">
        <v>436</v>
      </c>
      <c r="AA10" s="246" t="s">
        <v>436</v>
      </c>
      <c r="AB10" s="246" t="s">
        <v>436</v>
      </c>
      <c r="AC10" s="246" t="s">
        <v>436</v>
      </c>
      <c r="AD10" s="246" t="s">
        <v>436</v>
      </c>
      <c r="AE10" s="246" t="s">
        <v>436</v>
      </c>
      <c r="AF10" s="246" t="s">
        <v>436</v>
      </c>
      <c r="AG10" s="246" t="s">
        <v>436</v>
      </c>
      <c r="AH10" s="115" t="s">
        <v>589</v>
      </c>
    </row>
    <row r="11" spans="1:36" x14ac:dyDescent="0.25">
      <c r="A11" s="240">
        <f t="shared" si="0"/>
        <v>6</v>
      </c>
      <c r="B11" s="35">
        <v>626</v>
      </c>
      <c r="C11" s="91" t="s">
        <v>593</v>
      </c>
      <c r="D11" s="246" t="s">
        <v>436</v>
      </c>
      <c r="E11" s="246" t="s">
        <v>436</v>
      </c>
      <c r="F11" s="246" t="s">
        <v>436</v>
      </c>
      <c r="G11" s="246" t="s">
        <v>436</v>
      </c>
      <c r="H11" s="246" t="s">
        <v>436</v>
      </c>
      <c r="I11" s="246" t="s">
        <v>436</v>
      </c>
      <c r="J11" s="246" t="s">
        <v>436</v>
      </c>
      <c r="K11" s="246" t="s">
        <v>436</v>
      </c>
      <c r="L11" s="246" t="s">
        <v>436</v>
      </c>
      <c r="M11" s="246" t="s">
        <v>436</v>
      </c>
      <c r="N11" s="247" t="s">
        <v>529</v>
      </c>
      <c r="O11" s="246" t="s">
        <v>436</v>
      </c>
      <c r="P11" s="246" t="s">
        <v>436</v>
      </c>
      <c r="Q11" s="246" t="s">
        <v>436</v>
      </c>
      <c r="R11" s="246" t="s">
        <v>436</v>
      </c>
      <c r="S11" s="246" t="s">
        <v>436</v>
      </c>
      <c r="T11" s="246" t="s">
        <v>436</v>
      </c>
      <c r="U11" s="246" t="s">
        <v>436</v>
      </c>
      <c r="V11" s="246" t="s">
        <v>436</v>
      </c>
      <c r="W11" s="246" t="s">
        <v>436</v>
      </c>
      <c r="X11" s="246" t="s">
        <v>436</v>
      </c>
      <c r="Y11" s="246" t="s">
        <v>436</v>
      </c>
      <c r="Z11" s="246" t="s">
        <v>436</v>
      </c>
      <c r="AA11" s="246" t="s">
        <v>436</v>
      </c>
      <c r="AB11" s="246" t="s">
        <v>436</v>
      </c>
      <c r="AC11" s="246" t="s">
        <v>436</v>
      </c>
      <c r="AD11" s="246" t="s">
        <v>436</v>
      </c>
      <c r="AE11" s="246" t="s">
        <v>436</v>
      </c>
      <c r="AF11" s="246" t="s">
        <v>436</v>
      </c>
      <c r="AG11" s="246" t="s">
        <v>436</v>
      </c>
      <c r="AH11" s="115" t="s">
        <v>589</v>
      </c>
    </row>
    <row r="12" spans="1:36" x14ac:dyDescent="0.25">
      <c r="A12" s="240">
        <f t="shared" si="0"/>
        <v>7</v>
      </c>
      <c r="B12" s="90">
        <v>693</v>
      </c>
      <c r="C12" s="91" t="s">
        <v>84</v>
      </c>
      <c r="D12" s="246" t="s">
        <v>436</v>
      </c>
      <c r="E12" s="246" t="s">
        <v>436</v>
      </c>
      <c r="F12" s="246" t="s">
        <v>436</v>
      </c>
      <c r="G12" s="246" t="s">
        <v>436</v>
      </c>
      <c r="H12" s="246" t="s">
        <v>436</v>
      </c>
      <c r="I12" s="246" t="s">
        <v>436</v>
      </c>
      <c r="J12" s="246" t="s">
        <v>436</v>
      </c>
      <c r="K12" s="246" t="s">
        <v>436</v>
      </c>
      <c r="L12" s="246" t="s">
        <v>436</v>
      </c>
      <c r="M12" s="246" t="s">
        <v>436</v>
      </c>
      <c r="N12" s="246" t="s">
        <v>436</v>
      </c>
      <c r="O12" s="246" t="s">
        <v>436</v>
      </c>
      <c r="P12" s="246" t="s">
        <v>436</v>
      </c>
      <c r="Q12" s="246" t="s">
        <v>436</v>
      </c>
      <c r="R12" s="246" t="s">
        <v>436</v>
      </c>
      <c r="S12" s="246" t="s">
        <v>436</v>
      </c>
      <c r="T12" s="246" t="s">
        <v>436</v>
      </c>
      <c r="U12" s="246" t="s">
        <v>436</v>
      </c>
      <c r="V12" s="246" t="s">
        <v>436</v>
      </c>
      <c r="W12" s="248" t="s">
        <v>529</v>
      </c>
      <c r="X12" s="246" t="s">
        <v>436</v>
      </c>
      <c r="Y12" s="246" t="s">
        <v>436</v>
      </c>
      <c r="Z12" s="246" t="s">
        <v>436</v>
      </c>
      <c r="AA12" s="246" t="s">
        <v>436</v>
      </c>
      <c r="AB12" s="246" t="s">
        <v>436</v>
      </c>
      <c r="AC12" s="246" t="s">
        <v>436</v>
      </c>
      <c r="AD12" s="246" t="s">
        <v>436</v>
      </c>
      <c r="AE12" s="246" t="s">
        <v>436</v>
      </c>
      <c r="AF12" s="246" t="s">
        <v>436</v>
      </c>
      <c r="AG12" s="246" t="s">
        <v>436</v>
      </c>
      <c r="AH12" s="115" t="s">
        <v>589</v>
      </c>
    </row>
    <row r="13" spans="1:36" x14ac:dyDescent="0.25">
      <c r="A13" s="240">
        <f t="shared" si="0"/>
        <v>8</v>
      </c>
      <c r="B13" s="35">
        <v>848</v>
      </c>
      <c r="C13" s="91" t="s">
        <v>443</v>
      </c>
      <c r="D13" s="246" t="s">
        <v>436</v>
      </c>
      <c r="E13" s="246" t="s">
        <v>436</v>
      </c>
      <c r="F13" s="246" t="s">
        <v>436</v>
      </c>
      <c r="G13" s="246" t="s">
        <v>436</v>
      </c>
      <c r="H13" s="246" t="s">
        <v>436</v>
      </c>
      <c r="I13" s="246" t="s">
        <v>436</v>
      </c>
      <c r="J13" s="246" t="s">
        <v>436</v>
      </c>
      <c r="K13" s="246" t="s">
        <v>436</v>
      </c>
      <c r="L13" s="246" t="s">
        <v>436</v>
      </c>
      <c r="M13" s="246" t="s">
        <v>436</v>
      </c>
      <c r="N13" s="246" t="s">
        <v>436</v>
      </c>
      <c r="O13" s="246" t="s">
        <v>436</v>
      </c>
      <c r="P13" s="246" t="s">
        <v>436</v>
      </c>
      <c r="Q13" s="246" t="s">
        <v>436</v>
      </c>
      <c r="R13" s="246" t="s">
        <v>436</v>
      </c>
      <c r="S13" s="246" t="s">
        <v>436</v>
      </c>
      <c r="T13" s="246" t="s">
        <v>436</v>
      </c>
      <c r="U13" s="246" t="s">
        <v>436</v>
      </c>
      <c r="V13" s="246" t="s">
        <v>436</v>
      </c>
      <c r="W13" s="249" t="s">
        <v>442</v>
      </c>
      <c r="X13" s="249" t="s">
        <v>442</v>
      </c>
      <c r="Y13" s="249" t="s">
        <v>442</v>
      </c>
      <c r="Z13" s="250" t="s">
        <v>469</v>
      </c>
      <c r="AA13" s="250" t="s">
        <v>469</v>
      </c>
      <c r="AB13" s="250" t="s">
        <v>469</v>
      </c>
      <c r="AC13" s="250" t="s">
        <v>469</v>
      </c>
      <c r="AD13" s="250" t="s">
        <v>469</v>
      </c>
      <c r="AE13" s="250" t="s">
        <v>469</v>
      </c>
      <c r="AF13" s="250" t="s">
        <v>469</v>
      </c>
      <c r="AG13" s="250" t="s">
        <v>469</v>
      </c>
      <c r="AH13" s="115" t="s">
        <v>589</v>
      </c>
      <c r="AI13" s="73"/>
      <c r="AJ13" s="73"/>
    </row>
    <row r="14" spans="1:36" ht="15.75" x14ac:dyDescent="0.25">
      <c r="A14" s="240">
        <f t="shared" si="0"/>
        <v>9</v>
      </c>
      <c r="B14" s="251">
        <v>881</v>
      </c>
      <c r="C14" s="92" t="s">
        <v>464</v>
      </c>
      <c r="D14" s="246" t="s">
        <v>436</v>
      </c>
      <c r="E14" s="246" t="s">
        <v>436</v>
      </c>
      <c r="F14" s="246" t="s">
        <v>436</v>
      </c>
      <c r="G14" s="246" t="s">
        <v>436</v>
      </c>
      <c r="H14" s="246" t="s">
        <v>436</v>
      </c>
      <c r="I14" s="246" t="s">
        <v>436</v>
      </c>
      <c r="J14" s="246" t="s">
        <v>436</v>
      </c>
      <c r="K14" s="246" t="s">
        <v>436</v>
      </c>
      <c r="L14" s="246" t="s">
        <v>436</v>
      </c>
      <c r="M14" s="246" t="s">
        <v>436</v>
      </c>
      <c r="N14" s="246" t="s">
        <v>436</v>
      </c>
      <c r="O14" s="246" t="s">
        <v>436</v>
      </c>
      <c r="P14" s="246" t="s">
        <v>436</v>
      </c>
      <c r="Q14" s="246" t="s">
        <v>436</v>
      </c>
      <c r="R14" s="246" t="s">
        <v>436</v>
      </c>
      <c r="S14" s="252" t="s">
        <v>426</v>
      </c>
      <c r="T14" s="252" t="s">
        <v>426</v>
      </c>
      <c r="U14" s="246" t="s">
        <v>436</v>
      </c>
      <c r="V14" s="246" t="s">
        <v>436</v>
      </c>
      <c r="W14" s="246" t="s">
        <v>436</v>
      </c>
      <c r="X14" s="246" t="s">
        <v>436</v>
      </c>
      <c r="Y14" s="246" t="s">
        <v>436</v>
      </c>
      <c r="Z14" s="246" t="s">
        <v>436</v>
      </c>
      <c r="AA14" s="246" t="s">
        <v>436</v>
      </c>
      <c r="AB14" s="246" t="s">
        <v>436</v>
      </c>
      <c r="AC14" s="246" t="s">
        <v>436</v>
      </c>
      <c r="AD14" s="246" t="s">
        <v>436</v>
      </c>
      <c r="AE14" s="246" t="s">
        <v>436</v>
      </c>
      <c r="AF14" s="246" t="s">
        <v>436</v>
      </c>
      <c r="AG14" s="246" t="s">
        <v>436</v>
      </c>
      <c r="AH14" s="115" t="s">
        <v>589</v>
      </c>
    </row>
    <row r="15" spans="1:36" x14ac:dyDescent="0.25">
      <c r="A15" s="240">
        <f t="shared" si="0"/>
        <v>10</v>
      </c>
      <c r="B15" s="90" t="s">
        <v>167</v>
      </c>
      <c r="C15" s="91" t="s">
        <v>168</v>
      </c>
      <c r="D15" s="246" t="s">
        <v>436</v>
      </c>
      <c r="E15" s="246" t="s">
        <v>436</v>
      </c>
      <c r="F15" s="246" t="s">
        <v>436</v>
      </c>
      <c r="G15" s="246" t="s">
        <v>436</v>
      </c>
      <c r="H15" s="246" t="s">
        <v>436</v>
      </c>
      <c r="I15" s="246" t="s">
        <v>436</v>
      </c>
      <c r="J15" s="246" t="s">
        <v>436</v>
      </c>
      <c r="K15" s="246" t="s">
        <v>436</v>
      </c>
      <c r="L15" s="246" t="s">
        <v>436</v>
      </c>
      <c r="M15" s="246" t="s">
        <v>436</v>
      </c>
      <c r="N15" s="246" t="s">
        <v>436</v>
      </c>
      <c r="O15" s="246" t="s">
        <v>436</v>
      </c>
      <c r="P15" s="246" t="s">
        <v>436</v>
      </c>
      <c r="Q15" s="246" t="s">
        <v>436</v>
      </c>
      <c r="R15" s="246" t="s">
        <v>436</v>
      </c>
      <c r="S15" s="246" t="s">
        <v>436</v>
      </c>
      <c r="T15" s="246" t="s">
        <v>436</v>
      </c>
      <c r="U15" s="246" t="s">
        <v>436</v>
      </c>
      <c r="V15" s="246" t="s">
        <v>436</v>
      </c>
      <c r="W15" s="246" t="s">
        <v>436</v>
      </c>
      <c r="X15" s="246" t="s">
        <v>436</v>
      </c>
      <c r="Y15" s="246" t="s">
        <v>436</v>
      </c>
      <c r="Z15" s="246" t="s">
        <v>436</v>
      </c>
      <c r="AA15" s="246" t="s">
        <v>436</v>
      </c>
      <c r="AB15" s="246" t="s">
        <v>436</v>
      </c>
      <c r="AC15" s="246" t="s">
        <v>436</v>
      </c>
      <c r="AD15" s="246" t="s">
        <v>436</v>
      </c>
      <c r="AE15" s="246" t="s">
        <v>436</v>
      </c>
      <c r="AF15" s="246" t="s">
        <v>436</v>
      </c>
      <c r="AG15" s="246" t="s">
        <v>436</v>
      </c>
      <c r="AH15" s="115" t="s">
        <v>589</v>
      </c>
    </row>
    <row r="16" spans="1:36" x14ac:dyDescent="0.25">
      <c r="A16" s="240">
        <f t="shared" si="0"/>
        <v>11</v>
      </c>
      <c r="B16" s="253" t="s">
        <v>280</v>
      </c>
      <c r="C16" s="254" t="s">
        <v>513</v>
      </c>
      <c r="D16" s="246" t="s">
        <v>436</v>
      </c>
      <c r="E16" s="246" t="s">
        <v>436</v>
      </c>
      <c r="F16" s="246" t="s">
        <v>436</v>
      </c>
      <c r="G16" s="246" t="s">
        <v>436</v>
      </c>
      <c r="H16" s="246" t="s">
        <v>436</v>
      </c>
      <c r="I16" s="246" t="s">
        <v>436</v>
      </c>
      <c r="J16" s="246" t="s">
        <v>436</v>
      </c>
      <c r="K16" s="246" t="s">
        <v>436</v>
      </c>
      <c r="L16" s="246" t="s">
        <v>436</v>
      </c>
      <c r="M16" s="246" t="s">
        <v>436</v>
      </c>
      <c r="N16" s="246" t="s">
        <v>436</v>
      </c>
      <c r="O16" s="246" t="s">
        <v>436</v>
      </c>
      <c r="P16" s="246" t="s">
        <v>436</v>
      </c>
      <c r="Q16" s="246" t="s">
        <v>436</v>
      </c>
      <c r="R16" s="246" t="s">
        <v>436</v>
      </c>
      <c r="S16" s="246" t="s">
        <v>436</v>
      </c>
      <c r="T16" s="246" t="s">
        <v>436</v>
      </c>
      <c r="U16" s="246" t="s">
        <v>436</v>
      </c>
      <c r="V16" s="246" t="s">
        <v>436</v>
      </c>
      <c r="W16" s="246" t="s">
        <v>436</v>
      </c>
      <c r="X16" s="246" t="s">
        <v>436</v>
      </c>
      <c r="Y16" s="246" t="s">
        <v>436</v>
      </c>
      <c r="Z16" s="246" t="s">
        <v>436</v>
      </c>
      <c r="AA16" s="246" t="s">
        <v>436</v>
      </c>
      <c r="AB16" s="246" t="s">
        <v>436</v>
      </c>
      <c r="AC16" s="246" t="s">
        <v>436</v>
      </c>
      <c r="AD16" s="246" t="s">
        <v>436</v>
      </c>
      <c r="AE16" s="246" t="s">
        <v>436</v>
      </c>
      <c r="AF16" s="246" t="s">
        <v>436</v>
      </c>
      <c r="AG16" s="246" t="s">
        <v>436</v>
      </c>
      <c r="AH16" s="115" t="s">
        <v>589</v>
      </c>
    </row>
    <row r="17" spans="1:34" x14ac:dyDescent="0.25">
      <c r="A17" s="240">
        <f t="shared" si="0"/>
        <v>12</v>
      </c>
      <c r="B17" s="35" t="s">
        <v>282</v>
      </c>
      <c r="C17" s="91" t="s">
        <v>491</v>
      </c>
      <c r="D17" s="246" t="s">
        <v>436</v>
      </c>
      <c r="E17" s="246" t="s">
        <v>436</v>
      </c>
      <c r="F17" s="246" t="s">
        <v>436</v>
      </c>
      <c r="G17" s="246" t="s">
        <v>436</v>
      </c>
      <c r="H17" s="246" t="s">
        <v>436</v>
      </c>
      <c r="I17" s="246" t="s">
        <v>436</v>
      </c>
      <c r="J17" s="246" t="s">
        <v>436</v>
      </c>
      <c r="K17" s="246" t="s">
        <v>436</v>
      </c>
      <c r="L17" s="246" t="s">
        <v>436</v>
      </c>
      <c r="M17" s="246" t="s">
        <v>436</v>
      </c>
      <c r="N17" s="246" t="s">
        <v>436</v>
      </c>
      <c r="O17" s="246" t="s">
        <v>436</v>
      </c>
      <c r="P17" s="246" t="s">
        <v>436</v>
      </c>
      <c r="Q17" s="246" t="s">
        <v>436</v>
      </c>
      <c r="R17" s="246" t="s">
        <v>436</v>
      </c>
      <c r="S17" s="246" t="s">
        <v>436</v>
      </c>
      <c r="T17" s="246" t="s">
        <v>436</v>
      </c>
      <c r="U17" s="246" t="s">
        <v>436</v>
      </c>
      <c r="V17" s="246" t="s">
        <v>436</v>
      </c>
      <c r="W17" s="246" t="s">
        <v>436</v>
      </c>
      <c r="X17" s="246" t="s">
        <v>436</v>
      </c>
      <c r="Y17" s="246" t="s">
        <v>436</v>
      </c>
      <c r="Z17" s="246" t="s">
        <v>436</v>
      </c>
      <c r="AA17" s="246" t="s">
        <v>436</v>
      </c>
      <c r="AB17" s="246" t="s">
        <v>436</v>
      </c>
      <c r="AC17" s="246" t="s">
        <v>436</v>
      </c>
      <c r="AD17" s="246" t="s">
        <v>436</v>
      </c>
      <c r="AE17" s="246" t="s">
        <v>436</v>
      </c>
      <c r="AF17" s="246" t="s">
        <v>436</v>
      </c>
      <c r="AG17" s="246" t="s">
        <v>436</v>
      </c>
      <c r="AH17" s="115" t="s">
        <v>589</v>
      </c>
    </row>
    <row r="18" spans="1:34" x14ac:dyDescent="0.25">
      <c r="A18" s="240">
        <f t="shared" si="0"/>
        <v>13</v>
      </c>
      <c r="B18" s="90">
        <v>1012</v>
      </c>
      <c r="C18" s="91" t="s">
        <v>130</v>
      </c>
      <c r="D18" s="255" t="s">
        <v>436</v>
      </c>
      <c r="E18" s="255" t="s">
        <v>436</v>
      </c>
      <c r="F18" s="255" t="s">
        <v>436</v>
      </c>
      <c r="G18" s="255" t="s">
        <v>436</v>
      </c>
      <c r="H18" s="255" t="s">
        <v>436</v>
      </c>
      <c r="I18" s="255" t="s">
        <v>436</v>
      </c>
      <c r="J18" s="255" t="s">
        <v>436</v>
      </c>
      <c r="K18" s="255" t="s">
        <v>436</v>
      </c>
      <c r="L18" s="255" t="s">
        <v>436</v>
      </c>
      <c r="M18" s="255" t="s">
        <v>436</v>
      </c>
      <c r="N18" s="255" t="s">
        <v>436</v>
      </c>
      <c r="O18" s="255" t="s">
        <v>436</v>
      </c>
      <c r="P18" s="255" t="s">
        <v>436</v>
      </c>
      <c r="Q18" s="255" t="s">
        <v>436</v>
      </c>
      <c r="R18" s="255" t="s">
        <v>436</v>
      </c>
      <c r="S18" s="255" t="s">
        <v>436</v>
      </c>
      <c r="T18" s="255" t="s">
        <v>436</v>
      </c>
      <c r="U18" s="256" t="s">
        <v>529</v>
      </c>
      <c r="V18" s="256" t="s">
        <v>529</v>
      </c>
      <c r="W18" s="256" t="s">
        <v>529</v>
      </c>
      <c r="X18" s="256" t="s">
        <v>529</v>
      </c>
      <c r="Y18" s="246" t="s">
        <v>436</v>
      </c>
      <c r="Z18" s="246" t="s">
        <v>436</v>
      </c>
      <c r="AA18" s="246" t="s">
        <v>436</v>
      </c>
      <c r="AB18" s="246" t="s">
        <v>436</v>
      </c>
      <c r="AC18" s="246" t="s">
        <v>436</v>
      </c>
      <c r="AD18" s="246" t="s">
        <v>436</v>
      </c>
      <c r="AE18" s="246" t="s">
        <v>436</v>
      </c>
      <c r="AF18" s="246" t="s">
        <v>436</v>
      </c>
      <c r="AG18" s="246" t="s">
        <v>436</v>
      </c>
      <c r="AH18" s="117" t="s">
        <v>594</v>
      </c>
    </row>
    <row r="19" spans="1:34" x14ac:dyDescent="0.25">
      <c r="A19" s="240">
        <f t="shared" si="0"/>
        <v>14</v>
      </c>
      <c r="B19" s="90">
        <v>213</v>
      </c>
      <c r="C19" s="91" t="s">
        <v>40</v>
      </c>
      <c r="D19" s="257" t="s">
        <v>436</v>
      </c>
      <c r="E19" s="257" t="s">
        <v>436</v>
      </c>
      <c r="F19" s="257" t="s">
        <v>436</v>
      </c>
      <c r="G19" s="257" t="s">
        <v>436</v>
      </c>
      <c r="H19" s="257" t="s">
        <v>436</v>
      </c>
      <c r="I19" s="257" t="s">
        <v>436</v>
      </c>
      <c r="J19" s="257" t="s">
        <v>436</v>
      </c>
      <c r="K19" s="257" t="s">
        <v>436</v>
      </c>
      <c r="L19" s="257" t="s">
        <v>436</v>
      </c>
      <c r="M19" s="257" t="s">
        <v>436</v>
      </c>
      <c r="N19" s="257" t="s">
        <v>436</v>
      </c>
      <c r="O19" s="257" t="s">
        <v>436</v>
      </c>
      <c r="P19" s="257" t="s">
        <v>436</v>
      </c>
      <c r="Q19" s="257" t="s">
        <v>436</v>
      </c>
      <c r="R19" s="257" t="s">
        <v>436</v>
      </c>
      <c r="S19" s="257" t="s">
        <v>436</v>
      </c>
      <c r="T19" s="257" t="s">
        <v>436</v>
      </c>
      <c r="U19" s="257" t="s">
        <v>436</v>
      </c>
      <c r="V19" s="257" t="s">
        <v>436</v>
      </c>
      <c r="W19" s="257" t="s">
        <v>436</v>
      </c>
      <c r="X19" s="257" t="s">
        <v>436</v>
      </c>
      <c r="Y19" s="257" t="s">
        <v>436</v>
      </c>
      <c r="Z19" s="257" t="s">
        <v>436</v>
      </c>
      <c r="AA19" s="257" t="s">
        <v>436</v>
      </c>
      <c r="AB19" s="257" t="s">
        <v>436</v>
      </c>
      <c r="AC19" s="257" t="s">
        <v>436</v>
      </c>
      <c r="AD19" s="257" t="s">
        <v>436</v>
      </c>
      <c r="AE19" s="257" t="s">
        <v>436</v>
      </c>
      <c r="AF19" s="257" t="s">
        <v>436</v>
      </c>
      <c r="AG19" s="257" t="s">
        <v>436</v>
      </c>
      <c r="AH19" s="120" t="s">
        <v>452</v>
      </c>
    </row>
    <row r="20" spans="1:34" x14ac:dyDescent="0.25">
      <c r="A20" s="240">
        <f t="shared" si="0"/>
        <v>15</v>
      </c>
      <c r="B20" s="35">
        <v>247</v>
      </c>
      <c r="C20" s="91" t="s">
        <v>498</v>
      </c>
      <c r="D20" s="257" t="s">
        <v>436</v>
      </c>
      <c r="E20" s="257" t="s">
        <v>436</v>
      </c>
      <c r="F20" s="257" t="s">
        <v>436</v>
      </c>
      <c r="G20" s="257" t="s">
        <v>436</v>
      </c>
      <c r="H20" s="257" t="s">
        <v>436</v>
      </c>
      <c r="I20" s="257" t="s">
        <v>436</v>
      </c>
      <c r="J20" s="257" t="s">
        <v>436</v>
      </c>
      <c r="K20" s="257" t="s">
        <v>436</v>
      </c>
      <c r="L20" s="257" t="s">
        <v>436</v>
      </c>
      <c r="M20" s="257" t="s">
        <v>436</v>
      </c>
      <c r="N20" s="257" t="s">
        <v>436</v>
      </c>
      <c r="O20" s="257" t="s">
        <v>436</v>
      </c>
      <c r="P20" s="257" t="s">
        <v>436</v>
      </c>
      <c r="Q20" s="257" t="s">
        <v>436</v>
      </c>
      <c r="R20" s="257" t="s">
        <v>436</v>
      </c>
      <c r="S20" s="257" t="s">
        <v>436</v>
      </c>
      <c r="T20" s="257" t="s">
        <v>436</v>
      </c>
      <c r="U20" s="257" t="s">
        <v>436</v>
      </c>
      <c r="V20" s="257" t="s">
        <v>436</v>
      </c>
      <c r="W20" s="257" t="s">
        <v>436</v>
      </c>
      <c r="X20" s="257" t="s">
        <v>436</v>
      </c>
      <c r="Y20" s="257" t="s">
        <v>436</v>
      </c>
      <c r="Z20" s="257" t="s">
        <v>436</v>
      </c>
      <c r="AA20" s="257" t="s">
        <v>436</v>
      </c>
      <c r="AB20" s="257" t="s">
        <v>436</v>
      </c>
      <c r="AC20" s="257" t="s">
        <v>436</v>
      </c>
      <c r="AD20" s="257" t="s">
        <v>436</v>
      </c>
      <c r="AE20" s="257" t="s">
        <v>436</v>
      </c>
      <c r="AF20" s="257" t="s">
        <v>436</v>
      </c>
      <c r="AG20" s="257" t="s">
        <v>436</v>
      </c>
      <c r="AH20" s="120" t="s">
        <v>452</v>
      </c>
    </row>
    <row r="21" spans="1:34" x14ac:dyDescent="0.25">
      <c r="A21" s="240">
        <f t="shared" si="0"/>
        <v>16</v>
      </c>
      <c r="B21" s="35">
        <v>603</v>
      </c>
      <c r="C21" s="91" t="s">
        <v>62</v>
      </c>
      <c r="D21" s="257" t="s">
        <v>436</v>
      </c>
      <c r="E21" s="257" t="s">
        <v>436</v>
      </c>
      <c r="F21" s="257" t="s">
        <v>436</v>
      </c>
      <c r="G21" s="257" t="s">
        <v>436</v>
      </c>
      <c r="H21" s="257" t="s">
        <v>436</v>
      </c>
      <c r="I21" s="257" t="s">
        <v>436</v>
      </c>
      <c r="J21" s="257" t="s">
        <v>436</v>
      </c>
      <c r="K21" s="257" t="s">
        <v>436</v>
      </c>
      <c r="L21" s="257" t="s">
        <v>436</v>
      </c>
      <c r="M21" s="257" t="s">
        <v>436</v>
      </c>
      <c r="N21" s="257" t="s">
        <v>436</v>
      </c>
      <c r="O21" s="257" t="s">
        <v>436</v>
      </c>
      <c r="P21" s="257" t="s">
        <v>436</v>
      </c>
      <c r="Q21" s="257" t="s">
        <v>436</v>
      </c>
      <c r="R21" s="257" t="s">
        <v>436</v>
      </c>
      <c r="S21" s="257" t="s">
        <v>436</v>
      </c>
      <c r="T21" s="257" t="s">
        <v>436</v>
      </c>
      <c r="U21" s="257" t="s">
        <v>436</v>
      </c>
      <c r="V21" s="257" t="s">
        <v>436</v>
      </c>
      <c r="W21" s="257" t="s">
        <v>436</v>
      </c>
      <c r="X21" s="257" t="s">
        <v>436</v>
      </c>
      <c r="Y21" s="257" t="s">
        <v>436</v>
      </c>
      <c r="Z21" s="257" t="s">
        <v>436</v>
      </c>
      <c r="AA21" s="257" t="s">
        <v>436</v>
      </c>
      <c r="AB21" s="257" t="s">
        <v>436</v>
      </c>
      <c r="AC21" s="257" t="s">
        <v>436</v>
      </c>
      <c r="AD21" s="257" t="s">
        <v>436</v>
      </c>
      <c r="AE21" s="257" t="s">
        <v>436</v>
      </c>
      <c r="AF21" s="257" t="s">
        <v>436</v>
      </c>
      <c r="AG21" s="257" t="s">
        <v>436</v>
      </c>
      <c r="AH21" s="120" t="s">
        <v>452</v>
      </c>
    </row>
    <row r="22" spans="1:34" x14ac:dyDescent="0.25">
      <c r="A22" s="240">
        <f t="shared" si="0"/>
        <v>17</v>
      </c>
      <c r="B22" s="90">
        <v>604</v>
      </c>
      <c r="C22" s="91" t="s">
        <v>528</v>
      </c>
      <c r="D22" s="257" t="s">
        <v>436</v>
      </c>
      <c r="E22" s="257" t="s">
        <v>436</v>
      </c>
      <c r="F22" s="257" t="s">
        <v>436</v>
      </c>
      <c r="G22" s="257" t="s">
        <v>436</v>
      </c>
      <c r="H22" s="257" t="s">
        <v>436</v>
      </c>
      <c r="I22" s="257" t="s">
        <v>436</v>
      </c>
      <c r="J22" s="257" t="s">
        <v>436</v>
      </c>
      <c r="K22" s="257" t="s">
        <v>436</v>
      </c>
      <c r="L22" s="257" t="s">
        <v>436</v>
      </c>
      <c r="M22" s="257" t="s">
        <v>436</v>
      </c>
      <c r="N22" s="257" t="s">
        <v>436</v>
      </c>
      <c r="O22" s="257" t="s">
        <v>436</v>
      </c>
      <c r="P22" s="257" t="s">
        <v>436</v>
      </c>
      <c r="Q22" s="257" t="s">
        <v>436</v>
      </c>
      <c r="R22" s="257" t="s">
        <v>436</v>
      </c>
      <c r="S22" s="257" t="s">
        <v>436</v>
      </c>
      <c r="T22" s="257" t="s">
        <v>436</v>
      </c>
      <c r="U22" s="257" t="s">
        <v>436</v>
      </c>
      <c r="V22" s="257" t="s">
        <v>436</v>
      </c>
      <c r="W22" s="257" t="s">
        <v>436</v>
      </c>
      <c r="X22" s="257" t="s">
        <v>436</v>
      </c>
      <c r="Y22" s="257" t="s">
        <v>436</v>
      </c>
      <c r="Z22" s="257" t="s">
        <v>436</v>
      </c>
      <c r="AA22" s="257" t="s">
        <v>436</v>
      </c>
      <c r="AB22" s="257" t="s">
        <v>436</v>
      </c>
      <c r="AC22" s="257" t="s">
        <v>436</v>
      </c>
      <c r="AD22" s="257" t="s">
        <v>436</v>
      </c>
      <c r="AE22" s="257" t="s">
        <v>436</v>
      </c>
      <c r="AF22" s="257" t="s">
        <v>436</v>
      </c>
      <c r="AG22" s="257" t="s">
        <v>436</v>
      </c>
      <c r="AH22" s="120" t="s">
        <v>452</v>
      </c>
    </row>
    <row r="23" spans="1:34" x14ac:dyDescent="0.25">
      <c r="A23" s="240">
        <f t="shared" si="0"/>
        <v>18</v>
      </c>
      <c r="B23" s="90">
        <v>606</v>
      </c>
      <c r="C23" s="91" t="s">
        <v>411</v>
      </c>
      <c r="D23" s="257" t="s">
        <v>436</v>
      </c>
      <c r="E23" s="257" t="s">
        <v>436</v>
      </c>
      <c r="F23" s="257" t="s">
        <v>436</v>
      </c>
      <c r="G23" s="257" t="s">
        <v>436</v>
      </c>
      <c r="H23" s="257" t="s">
        <v>436</v>
      </c>
      <c r="I23" s="257" t="s">
        <v>436</v>
      </c>
      <c r="J23" s="257" t="s">
        <v>436</v>
      </c>
      <c r="K23" s="257" t="s">
        <v>436</v>
      </c>
      <c r="L23" s="257" t="s">
        <v>436</v>
      </c>
      <c r="M23" s="257" t="s">
        <v>436</v>
      </c>
      <c r="N23" s="257" t="s">
        <v>436</v>
      </c>
      <c r="O23" s="257" t="s">
        <v>436</v>
      </c>
      <c r="P23" s="257" t="s">
        <v>436</v>
      </c>
      <c r="Q23" s="257" t="s">
        <v>436</v>
      </c>
      <c r="R23" s="257" t="s">
        <v>436</v>
      </c>
      <c r="S23" s="257" t="s">
        <v>436</v>
      </c>
      <c r="T23" s="257" t="s">
        <v>436</v>
      </c>
      <c r="U23" s="257" t="s">
        <v>436</v>
      </c>
      <c r="V23" s="257" t="s">
        <v>436</v>
      </c>
      <c r="W23" s="257" t="s">
        <v>436</v>
      </c>
      <c r="X23" s="257" t="s">
        <v>436</v>
      </c>
      <c r="Y23" s="252" t="s">
        <v>426</v>
      </c>
      <c r="Z23" s="257" t="s">
        <v>436</v>
      </c>
      <c r="AA23" s="257" t="s">
        <v>436</v>
      </c>
      <c r="AB23" s="257" t="s">
        <v>436</v>
      </c>
      <c r="AC23" s="257" t="s">
        <v>436</v>
      </c>
      <c r="AD23" s="257" t="s">
        <v>436</v>
      </c>
      <c r="AE23" s="257" t="s">
        <v>436</v>
      </c>
      <c r="AF23" s="257" t="s">
        <v>436</v>
      </c>
      <c r="AG23" s="257" t="s">
        <v>436</v>
      </c>
      <c r="AH23" s="120" t="s">
        <v>452</v>
      </c>
    </row>
    <row r="24" spans="1:34" x14ac:dyDescent="0.25">
      <c r="A24" s="240">
        <f t="shared" si="0"/>
        <v>19</v>
      </c>
      <c r="B24" s="35">
        <v>652</v>
      </c>
      <c r="C24" s="91" t="s">
        <v>71</v>
      </c>
      <c r="D24" s="257" t="s">
        <v>436</v>
      </c>
      <c r="E24" s="257" t="s">
        <v>436</v>
      </c>
      <c r="F24" s="257" t="s">
        <v>436</v>
      </c>
      <c r="G24" s="257" t="s">
        <v>436</v>
      </c>
      <c r="H24" s="257" t="s">
        <v>436</v>
      </c>
      <c r="I24" s="257" t="s">
        <v>436</v>
      </c>
      <c r="J24" s="257" t="s">
        <v>436</v>
      </c>
      <c r="K24" s="257" t="s">
        <v>436</v>
      </c>
      <c r="L24" s="258" t="s">
        <v>442</v>
      </c>
      <c r="M24" s="257" t="s">
        <v>436</v>
      </c>
      <c r="N24" s="247" t="s">
        <v>529</v>
      </c>
      <c r="O24" s="257" t="s">
        <v>436</v>
      </c>
      <c r="P24" s="257" t="s">
        <v>436</v>
      </c>
      <c r="Q24" s="257" t="s">
        <v>436</v>
      </c>
      <c r="R24" s="257" t="s">
        <v>436</v>
      </c>
      <c r="S24" s="257" t="s">
        <v>436</v>
      </c>
      <c r="T24" s="257" t="s">
        <v>436</v>
      </c>
      <c r="U24" s="257" t="s">
        <v>436</v>
      </c>
      <c r="V24" s="257" t="s">
        <v>436</v>
      </c>
      <c r="W24" s="257" t="s">
        <v>436</v>
      </c>
      <c r="X24" s="257" t="s">
        <v>436</v>
      </c>
      <c r="Y24" s="257" t="s">
        <v>436</v>
      </c>
      <c r="Z24" s="258" t="s">
        <v>442</v>
      </c>
      <c r="AA24" s="257" t="s">
        <v>436</v>
      </c>
      <c r="AB24" s="257" t="s">
        <v>436</v>
      </c>
      <c r="AC24" s="257" t="s">
        <v>436</v>
      </c>
      <c r="AD24" s="257" t="s">
        <v>436</v>
      </c>
      <c r="AE24" s="257" t="s">
        <v>436</v>
      </c>
      <c r="AF24" s="257" t="s">
        <v>436</v>
      </c>
      <c r="AG24" s="257" t="s">
        <v>436</v>
      </c>
      <c r="AH24" s="120" t="s">
        <v>595</v>
      </c>
    </row>
    <row r="25" spans="1:34" x14ac:dyDescent="0.25">
      <c r="A25" s="240">
        <f t="shared" si="0"/>
        <v>20</v>
      </c>
      <c r="B25" s="90">
        <v>670</v>
      </c>
      <c r="C25" s="91" t="s">
        <v>78</v>
      </c>
      <c r="D25" s="257" t="s">
        <v>436</v>
      </c>
      <c r="E25" s="257" t="s">
        <v>436</v>
      </c>
      <c r="F25" s="257" t="s">
        <v>436</v>
      </c>
      <c r="G25" s="257" t="s">
        <v>436</v>
      </c>
      <c r="H25" s="257" t="s">
        <v>436</v>
      </c>
      <c r="I25" s="257" t="s">
        <v>436</v>
      </c>
      <c r="J25" s="257" t="s">
        <v>436</v>
      </c>
      <c r="K25" s="257" t="s">
        <v>436</v>
      </c>
      <c r="L25" s="257" t="s">
        <v>436</v>
      </c>
      <c r="M25" s="257" t="s">
        <v>436</v>
      </c>
      <c r="N25" s="257" t="s">
        <v>436</v>
      </c>
      <c r="O25" s="257" t="s">
        <v>436</v>
      </c>
      <c r="P25" s="257" t="s">
        <v>436</v>
      </c>
      <c r="Q25" s="257" t="s">
        <v>436</v>
      </c>
      <c r="R25" s="257" t="s">
        <v>436</v>
      </c>
      <c r="S25" s="257" t="s">
        <v>436</v>
      </c>
      <c r="T25" s="257" t="s">
        <v>436</v>
      </c>
      <c r="U25" s="257" t="s">
        <v>436</v>
      </c>
      <c r="V25" s="257" t="s">
        <v>436</v>
      </c>
      <c r="W25" s="257" t="s">
        <v>436</v>
      </c>
      <c r="X25" s="257" t="s">
        <v>436</v>
      </c>
      <c r="Y25" s="257" t="s">
        <v>436</v>
      </c>
      <c r="Z25" s="257" t="s">
        <v>436</v>
      </c>
      <c r="AA25" s="257" t="s">
        <v>436</v>
      </c>
      <c r="AB25" s="257" t="s">
        <v>436</v>
      </c>
      <c r="AC25" s="257" t="s">
        <v>436</v>
      </c>
      <c r="AD25" s="257" t="s">
        <v>436</v>
      </c>
      <c r="AE25" s="257" t="s">
        <v>436</v>
      </c>
      <c r="AF25" s="257" t="s">
        <v>436</v>
      </c>
      <c r="AG25" s="257" t="s">
        <v>436</v>
      </c>
      <c r="AH25" s="120" t="s">
        <v>452</v>
      </c>
    </row>
    <row r="26" spans="1:34" x14ac:dyDescent="0.25">
      <c r="A26" s="240">
        <f t="shared" si="0"/>
        <v>21</v>
      </c>
      <c r="B26" s="35">
        <v>836</v>
      </c>
      <c r="C26" s="91" t="s">
        <v>440</v>
      </c>
      <c r="D26" s="257" t="s">
        <v>436</v>
      </c>
      <c r="E26" s="257" t="s">
        <v>436</v>
      </c>
      <c r="F26" s="257" t="s">
        <v>436</v>
      </c>
      <c r="G26" s="257" t="s">
        <v>436</v>
      </c>
      <c r="H26" s="257" t="s">
        <v>436</v>
      </c>
      <c r="I26" s="257" t="s">
        <v>436</v>
      </c>
      <c r="J26" s="257" t="s">
        <v>436</v>
      </c>
      <c r="K26" s="257" t="s">
        <v>436</v>
      </c>
      <c r="L26" s="257" t="s">
        <v>436</v>
      </c>
      <c r="M26" s="257" t="s">
        <v>436</v>
      </c>
      <c r="N26" s="257" t="s">
        <v>436</v>
      </c>
      <c r="O26" s="257" t="s">
        <v>436</v>
      </c>
      <c r="P26" s="257" t="s">
        <v>436</v>
      </c>
      <c r="Q26" s="257" t="s">
        <v>436</v>
      </c>
      <c r="R26" s="257" t="s">
        <v>436</v>
      </c>
      <c r="S26" s="257" t="s">
        <v>436</v>
      </c>
      <c r="T26" s="257" t="s">
        <v>436</v>
      </c>
      <c r="U26" s="257" t="s">
        <v>436</v>
      </c>
      <c r="V26" s="257" t="s">
        <v>436</v>
      </c>
      <c r="W26" s="257" t="s">
        <v>436</v>
      </c>
      <c r="X26" s="257" t="s">
        <v>436</v>
      </c>
      <c r="Y26" s="257" t="s">
        <v>436</v>
      </c>
      <c r="Z26" s="257" t="s">
        <v>436</v>
      </c>
      <c r="AA26" s="257" t="s">
        <v>436</v>
      </c>
      <c r="AB26" s="257" t="s">
        <v>436</v>
      </c>
      <c r="AC26" s="257" t="s">
        <v>436</v>
      </c>
      <c r="AD26" s="257" t="s">
        <v>436</v>
      </c>
      <c r="AE26" s="257" t="s">
        <v>436</v>
      </c>
      <c r="AF26" s="257" t="s">
        <v>436</v>
      </c>
      <c r="AG26" s="257" t="s">
        <v>436</v>
      </c>
      <c r="AH26" s="120" t="s">
        <v>452</v>
      </c>
    </row>
    <row r="27" spans="1:34" x14ac:dyDescent="0.25">
      <c r="A27" s="240">
        <f t="shared" si="0"/>
        <v>22</v>
      </c>
      <c r="B27" s="107">
        <v>985</v>
      </c>
      <c r="C27" s="91" t="s">
        <v>402</v>
      </c>
      <c r="D27" s="257" t="s">
        <v>436</v>
      </c>
      <c r="E27" s="257" t="s">
        <v>436</v>
      </c>
      <c r="F27" s="257" t="s">
        <v>436</v>
      </c>
      <c r="G27" s="257" t="s">
        <v>436</v>
      </c>
      <c r="H27" s="257" t="s">
        <v>436</v>
      </c>
      <c r="I27" s="257" t="s">
        <v>436</v>
      </c>
      <c r="J27" s="257" t="s">
        <v>436</v>
      </c>
      <c r="K27" s="257" t="s">
        <v>436</v>
      </c>
      <c r="L27" s="257" t="s">
        <v>436</v>
      </c>
      <c r="M27" s="257" t="s">
        <v>436</v>
      </c>
      <c r="N27" s="257" t="s">
        <v>436</v>
      </c>
      <c r="O27" s="257" t="s">
        <v>436</v>
      </c>
      <c r="P27" s="257" t="s">
        <v>436</v>
      </c>
      <c r="Q27" s="257" t="s">
        <v>436</v>
      </c>
      <c r="R27" s="257" t="s">
        <v>436</v>
      </c>
      <c r="S27" s="257" t="s">
        <v>436</v>
      </c>
      <c r="T27" s="252" t="s">
        <v>426</v>
      </c>
      <c r="U27" s="252" t="s">
        <v>426</v>
      </c>
      <c r="V27" s="257" t="s">
        <v>436</v>
      </c>
      <c r="W27" s="258" t="s">
        <v>442</v>
      </c>
      <c r="X27" s="257" t="s">
        <v>436</v>
      </c>
      <c r="Y27" s="257" t="s">
        <v>436</v>
      </c>
      <c r="Z27" s="257" t="s">
        <v>436</v>
      </c>
      <c r="AA27" s="257" t="s">
        <v>436</v>
      </c>
      <c r="AB27" s="252" t="s">
        <v>426</v>
      </c>
      <c r="AC27" s="257" t="s">
        <v>436</v>
      </c>
      <c r="AD27" s="257" t="s">
        <v>436</v>
      </c>
      <c r="AE27" s="257" t="s">
        <v>436</v>
      </c>
      <c r="AF27" s="257" t="s">
        <v>436</v>
      </c>
      <c r="AG27" s="257" t="s">
        <v>436</v>
      </c>
      <c r="AH27" s="120" t="s">
        <v>452</v>
      </c>
    </row>
    <row r="28" spans="1:34" x14ac:dyDescent="0.25">
      <c r="A28" s="240">
        <f t="shared" si="0"/>
        <v>23</v>
      </c>
      <c r="B28" s="90">
        <v>1005</v>
      </c>
      <c r="C28" s="91" t="s">
        <v>453</v>
      </c>
      <c r="D28" s="257" t="s">
        <v>436</v>
      </c>
      <c r="E28" s="257" t="s">
        <v>436</v>
      </c>
      <c r="F28" s="257" t="s">
        <v>436</v>
      </c>
      <c r="G28" s="257" t="s">
        <v>436</v>
      </c>
      <c r="H28" s="257" t="s">
        <v>436</v>
      </c>
      <c r="I28" s="257" t="s">
        <v>436</v>
      </c>
      <c r="J28" s="257" t="s">
        <v>436</v>
      </c>
      <c r="K28" s="257" t="s">
        <v>436</v>
      </c>
      <c r="L28" s="257" t="s">
        <v>436</v>
      </c>
      <c r="M28" s="257" t="s">
        <v>436</v>
      </c>
      <c r="N28" s="257" t="s">
        <v>436</v>
      </c>
      <c r="O28" s="257" t="s">
        <v>436</v>
      </c>
      <c r="P28" s="257" t="s">
        <v>436</v>
      </c>
      <c r="Q28" s="257" t="s">
        <v>436</v>
      </c>
      <c r="R28" s="257" t="s">
        <v>436</v>
      </c>
      <c r="S28" s="257" t="s">
        <v>436</v>
      </c>
      <c r="T28" s="257" t="s">
        <v>436</v>
      </c>
      <c r="U28" s="257" t="s">
        <v>436</v>
      </c>
      <c r="V28" s="257" t="s">
        <v>436</v>
      </c>
      <c r="W28" s="257" t="s">
        <v>436</v>
      </c>
      <c r="X28" s="257" t="s">
        <v>436</v>
      </c>
      <c r="Y28" s="257" t="s">
        <v>436</v>
      </c>
      <c r="Z28" s="257" t="s">
        <v>436</v>
      </c>
      <c r="AA28" s="257" t="s">
        <v>436</v>
      </c>
      <c r="AB28" s="257" t="s">
        <v>436</v>
      </c>
      <c r="AC28" s="257" t="s">
        <v>436</v>
      </c>
      <c r="AD28" s="257" t="s">
        <v>436</v>
      </c>
      <c r="AE28" s="257" t="s">
        <v>436</v>
      </c>
      <c r="AF28" s="257" t="s">
        <v>436</v>
      </c>
      <c r="AG28" s="257" t="s">
        <v>436</v>
      </c>
      <c r="AH28" s="120" t="s">
        <v>452</v>
      </c>
    </row>
    <row r="29" spans="1:34" x14ac:dyDescent="0.25">
      <c r="A29" s="240">
        <f t="shared" si="0"/>
        <v>24</v>
      </c>
      <c r="B29" s="90" t="s">
        <v>147</v>
      </c>
      <c r="C29" s="91" t="s">
        <v>148</v>
      </c>
      <c r="D29" s="257" t="s">
        <v>436</v>
      </c>
      <c r="E29" s="257" t="s">
        <v>436</v>
      </c>
      <c r="F29" s="252" t="s">
        <v>426</v>
      </c>
      <c r="G29" s="257" t="s">
        <v>436</v>
      </c>
      <c r="H29" s="257" t="s">
        <v>436</v>
      </c>
      <c r="I29" s="257" t="s">
        <v>436</v>
      </c>
      <c r="J29" s="257" t="s">
        <v>436</v>
      </c>
      <c r="K29" s="257" t="s">
        <v>436</v>
      </c>
      <c r="L29" s="257" t="s">
        <v>436</v>
      </c>
      <c r="M29" s="257" t="s">
        <v>436</v>
      </c>
      <c r="N29" s="257" t="s">
        <v>436</v>
      </c>
      <c r="O29" s="257" t="s">
        <v>436</v>
      </c>
      <c r="P29" s="257" t="s">
        <v>436</v>
      </c>
      <c r="Q29" s="257" t="s">
        <v>436</v>
      </c>
      <c r="R29" s="257" t="s">
        <v>436</v>
      </c>
      <c r="S29" s="259" t="s">
        <v>442</v>
      </c>
      <c r="T29" s="259" t="s">
        <v>442</v>
      </c>
      <c r="U29" s="258" t="s">
        <v>469</v>
      </c>
      <c r="V29" s="258" t="s">
        <v>469</v>
      </c>
      <c r="W29" s="258" t="s">
        <v>469</v>
      </c>
      <c r="X29" s="258" t="s">
        <v>469</v>
      </c>
      <c r="Y29" s="258" t="s">
        <v>469</v>
      </c>
      <c r="Z29" s="258" t="s">
        <v>469</v>
      </c>
      <c r="AA29" s="258" t="s">
        <v>469</v>
      </c>
      <c r="AB29" s="258" t="s">
        <v>469</v>
      </c>
      <c r="AC29" s="258" t="s">
        <v>469</v>
      </c>
      <c r="AD29" s="258" t="s">
        <v>469</v>
      </c>
      <c r="AE29" s="258" t="s">
        <v>469</v>
      </c>
      <c r="AF29" s="258" t="s">
        <v>469</v>
      </c>
      <c r="AG29" s="258" t="s">
        <v>469</v>
      </c>
      <c r="AH29" s="120" t="s">
        <v>595</v>
      </c>
    </row>
    <row r="30" spans="1:34" x14ac:dyDescent="0.25">
      <c r="A30" s="240">
        <f t="shared" si="0"/>
        <v>25</v>
      </c>
      <c r="B30" s="90" t="s">
        <v>398</v>
      </c>
      <c r="C30" s="91" t="s">
        <v>454</v>
      </c>
      <c r="D30" s="257" t="s">
        <v>436</v>
      </c>
      <c r="E30" s="257" t="s">
        <v>436</v>
      </c>
      <c r="F30" s="257" t="s">
        <v>436</v>
      </c>
      <c r="G30" s="257" t="s">
        <v>436</v>
      </c>
      <c r="H30" s="257" t="s">
        <v>436</v>
      </c>
      <c r="I30" s="257" t="s">
        <v>436</v>
      </c>
      <c r="J30" s="257" t="s">
        <v>436</v>
      </c>
      <c r="K30" s="257" t="s">
        <v>436</v>
      </c>
      <c r="L30" s="257" t="s">
        <v>436</v>
      </c>
      <c r="M30" s="257" t="s">
        <v>436</v>
      </c>
      <c r="N30" s="257" t="s">
        <v>436</v>
      </c>
      <c r="O30" s="257" t="s">
        <v>436</v>
      </c>
      <c r="P30" s="257" t="s">
        <v>436</v>
      </c>
      <c r="Q30" s="257" t="s">
        <v>436</v>
      </c>
      <c r="R30" s="257" t="s">
        <v>436</v>
      </c>
      <c r="S30" s="257" t="s">
        <v>436</v>
      </c>
      <c r="T30" s="257" t="s">
        <v>436</v>
      </c>
      <c r="U30" s="257" t="s">
        <v>436</v>
      </c>
      <c r="V30" s="257" t="s">
        <v>436</v>
      </c>
      <c r="W30" s="257" t="s">
        <v>436</v>
      </c>
      <c r="X30" s="257" t="s">
        <v>436</v>
      </c>
      <c r="Y30" s="257" t="s">
        <v>436</v>
      </c>
      <c r="Z30" s="257" t="s">
        <v>436</v>
      </c>
      <c r="AA30" s="257" t="s">
        <v>436</v>
      </c>
      <c r="AB30" s="257" t="s">
        <v>436</v>
      </c>
      <c r="AC30" s="257" t="s">
        <v>436</v>
      </c>
      <c r="AD30" s="257" t="s">
        <v>436</v>
      </c>
      <c r="AE30" s="257" t="s">
        <v>436</v>
      </c>
      <c r="AF30" s="257" t="s">
        <v>436</v>
      </c>
      <c r="AG30" s="257" t="s">
        <v>436</v>
      </c>
      <c r="AH30" s="120" t="s">
        <v>452</v>
      </c>
    </row>
    <row r="31" spans="1:34" x14ac:dyDescent="0.25">
      <c r="A31" s="240">
        <f t="shared" si="0"/>
        <v>26</v>
      </c>
      <c r="B31" s="75" t="s">
        <v>158</v>
      </c>
      <c r="C31" s="91" t="s">
        <v>159</v>
      </c>
      <c r="D31" s="257" t="s">
        <v>436</v>
      </c>
      <c r="E31" s="257" t="s">
        <v>436</v>
      </c>
      <c r="F31" s="257" t="s">
        <v>436</v>
      </c>
      <c r="G31" s="257" t="s">
        <v>436</v>
      </c>
      <c r="H31" s="257" t="s">
        <v>436</v>
      </c>
      <c r="I31" s="257" t="s">
        <v>436</v>
      </c>
      <c r="J31" s="257" t="s">
        <v>436</v>
      </c>
      <c r="K31" s="257" t="s">
        <v>436</v>
      </c>
      <c r="L31" s="257" t="s">
        <v>436</v>
      </c>
      <c r="M31" s="257" t="s">
        <v>436</v>
      </c>
      <c r="N31" s="257" t="s">
        <v>436</v>
      </c>
      <c r="O31" s="257" t="s">
        <v>436</v>
      </c>
      <c r="P31" s="257" t="s">
        <v>436</v>
      </c>
      <c r="Q31" s="257" t="s">
        <v>436</v>
      </c>
      <c r="R31" s="257" t="s">
        <v>436</v>
      </c>
      <c r="S31" s="257" t="s">
        <v>436</v>
      </c>
      <c r="T31" s="257" t="s">
        <v>436</v>
      </c>
      <c r="U31" s="257" t="s">
        <v>436</v>
      </c>
      <c r="V31" s="257" t="s">
        <v>436</v>
      </c>
      <c r="W31" s="257" t="s">
        <v>436</v>
      </c>
      <c r="X31" s="257" t="s">
        <v>436</v>
      </c>
      <c r="Y31" s="257" t="s">
        <v>436</v>
      </c>
      <c r="Z31" s="257" t="s">
        <v>436</v>
      </c>
      <c r="AA31" s="257" t="s">
        <v>436</v>
      </c>
      <c r="AB31" s="257" t="s">
        <v>436</v>
      </c>
      <c r="AC31" s="257" t="s">
        <v>436</v>
      </c>
      <c r="AD31" s="257" t="s">
        <v>436</v>
      </c>
      <c r="AE31" s="257" t="s">
        <v>436</v>
      </c>
      <c r="AF31" s="257" t="s">
        <v>436</v>
      </c>
      <c r="AG31" s="257" t="s">
        <v>436</v>
      </c>
      <c r="AH31" s="120" t="s">
        <v>452</v>
      </c>
    </row>
    <row r="32" spans="1:34" x14ac:dyDescent="0.25">
      <c r="A32" s="240">
        <f t="shared" si="0"/>
        <v>27</v>
      </c>
      <c r="B32" s="90" t="s">
        <v>370</v>
      </c>
      <c r="C32" s="91" t="s">
        <v>596</v>
      </c>
      <c r="D32" s="257" t="s">
        <v>436</v>
      </c>
      <c r="E32" s="257" t="s">
        <v>436</v>
      </c>
      <c r="F32" s="257" t="s">
        <v>436</v>
      </c>
      <c r="G32" s="257" t="s">
        <v>436</v>
      </c>
      <c r="H32" s="257" t="s">
        <v>436</v>
      </c>
      <c r="I32" s="257" t="s">
        <v>436</v>
      </c>
      <c r="J32" s="257" t="s">
        <v>436</v>
      </c>
      <c r="K32" s="257" t="s">
        <v>436</v>
      </c>
      <c r="L32" s="257" t="s">
        <v>436</v>
      </c>
      <c r="M32" s="257" t="s">
        <v>436</v>
      </c>
      <c r="N32" s="257" t="s">
        <v>436</v>
      </c>
      <c r="O32" s="257" t="s">
        <v>436</v>
      </c>
      <c r="P32" s="257" t="s">
        <v>436</v>
      </c>
      <c r="Q32" s="257" t="s">
        <v>436</v>
      </c>
      <c r="R32" s="257" t="s">
        <v>436</v>
      </c>
      <c r="S32" s="257" t="s">
        <v>436</v>
      </c>
      <c r="T32" s="257" t="s">
        <v>436</v>
      </c>
      <c r="U32" s="257" t="s">
        <v>436</v>
      </c>
      <c r="V32" s="257" t="s">
        <v>436</v>
      </c>
      <c r="W32" s="257" t="s">
        <v>436</v>
      </c>
      <c r="X32" s="257" t="s">
        <v>436</v>
      </c>
      <c r="Y32" s="257" t="s">
        <v>436</v>
      </c>
      <c r="Z32" s="257" t="s">
        <v>436</v>
      </c>
      <c r="AA32" s="257" t="s">
        <v>436</v>
      </c>
      <c r="AB32" s="257" t="s">
        <v>436</v>
      </c>
      <c r="AC32" s="257" t="s">
        <v>436</v>
      </c>
      <c r="AD32" s="257" t="s">
        <v>436</v>
      </c>
      <c r="AE32" s="257" t="s">
        <v>436</v>
      </c>
      <c r="AF32" s="257" t="s">
        <v>436</v>
      </c>
      <c r="AG32" s="257" t="s">
        <v>436</v>
      </c>
      <c r="AH32" s="120" t="s">
        <v>595</v>
      </c>
    </row>
    <row r="33" spans="1:36" x14ac:dyDescent="0.25">
      <c r="A33" s="240">
        <f t="shared" si="0"/>
        <v>28</v>
      </c>
      <c r="B33" s="90" t="s">
        <v>386</v>
      </c>
      <c r="C33" s="91" t="s">
        <v>496</v>
      </c>
      <c r="D33" s="257" t="s">
        <v>436</v>
      </c>
      <c r="E33" s="257" t="s">
        <v>436</v>
      </c>
      <c r="F33" s="257" t="s">
        <v>436</v>
      </c>
      <c r="G33" s="257" t="s">
        <v>436</v>
      </c>
      <c r="H33" s="257" t="s">
        <v>436</v>
      </c>
      <c r="I33" s="257" t="s">
        <v>436</v>
      </c>
      <c r="J33" s="257" t="s">
        <v>436</v>
      </c>
      <c r="K33" s="257" t="s">
        <v>436</v>
      </c>
      <c r="L33" s="257" t="s">
        <v>436</v>
      </c>
      <c r="M33" s="257" t="s">
        <v>436</v>
      </c>
      <c r="N33" s="257" t="s">
        <v>436</v>
      </c>
      <c r="O33" s="257" t="s">
        <v>436</v>
      </c>
      <c r="P33" s="257" t="s">
        <v>436</v>
      </c>
      <c r="Q33" s="257" t="s">
        <v>436</v>
      </c>
      <c r="R33" s="257" t="s">
        <v>436</v>
      </c>
      <c r="S33" s="257" t="s">
        <v>436</v>
      </c>
      <c r="T33" s="257" t="s">
        <v>436</v>
      </c>
      <c r="U33" s="257" t="s">
        <v>436</v>
      </c>
      <c r="V33" s="257" t="s">
        <v>436</v>
      </c>
      <c r="W33" s="257" t="s">
        <v>436</v>
      </c>
      <c r="X33" s="257" t="s">
        <v>436</v>
      </c>
      <c r="Y33" s="257" t="s">
        <v>436</v>
      </c>
      <c r="Z33" s="257" t="s">
        <v>436</v>
      </c>
      <c r="AA33" s="257" t="s">
        <v>436</v>
      </c>
      <c r="AB33" s="257" t="s">
        <v>436</v>
      </c>
      <c r="AC33" s="257" t="s">
        <v>436</v>
      </c>
      <c r="AD33" s="257" t="s">
        <v>436</v>
      </c>
      <c r="AE33" s="257" t="s">
        <v>436</v>
      </c>
      <c r="AF33" s="257" t="s">
        <v>436</v>
      </c>
      <c r="AG33" s="257" t="s">
        <v>436</v>
      </c>
      <c r="AH33" s="120" t="s">
        <v>452</v>
      </c>
    </row>
    <row r="34" spans="1:36" x14ac:dyDescent="0.25">
      <c r="A34" s="240">
        <f t="shared" si="0"/>
        <v>29</v>
      </c>
      <c r="B34" s="75" t="s">
        <v>186</v>
      </c>
      <c r="C34" s="92" t="s">
        <v>466</v>
      </c>
      <c r="D34" s="257" t="s">
        <v>436</v>
      </c>
      <c r="E34" s="257" t="s">
        <v>436</v>
      </c>
      <c r="F34" s="257" t="s">
        <v>436</v>
      </c>
      <c r="G34" s="257" t="s">
        <v>436</v>
      </c>
      <c r="H34" s="252" t="s">
        <v>426</v>
      </c>
      <c r="I34" s="257" t="s">
        <v>436</v>
      </c>
      <c r="J34" s="257" t="s">
        <v>436</v>
      </c>
      <c r="K34" s="257" t="s">
        <v>436</v>
      </c>
      <c r="L34" s="257" t="s">
        <v>436</v>
      </c>
      <c r="M34" s="257" t="s">
        <v>436</v>
      </c>
      <c r="N34" s="257" t="s">
        <v>436</v>
      </c>
      <c r="O34" s="257" t="s">
        <v>436</v>
      </c>
      <c r="P34" s="257" t="s">
        <v>436</v>
      </c>
      <c r="Q34" s="257" t="s">
        <v>436</v>
      </c>
      <c r="R34" s="257" t="s">
        <v>436</v>
      </c>
      <c r="S34" s="257" t="s">
        <v>436</v>
      </c>
      <c r="T34" s="257" t="s">
        <v>436</v>
      </c>
      <c r="U34" s="257" t="s">
        <v>436</v>
      </c>
      <c r="V34" s="257" t="s">
        <v>436</v>
      </c>
      <c r="W34" s="257" t="s">
        <v>436</v>
      </c>
      <c r="X34" s="257" t="s">
        <v>436</v>
      </c>
      <c r="Y34" s="257" t="s">
        <v>436</v>
      </c>
      <c r="Z34" s="257" t="s">
        <v>436</v>
      </c>
      <c r="AA34" s="257" t="s">
        <v>436</v>
      </c>
      <c r="AB34" s="257" t="s">
        <v>436</v>
      </c>
      <c r="AC34" s="257" t="s">
        <v>436</v>
      </c>
      <c r="AD34" s="257" t="s">
        <v>436</v>
      </c>
      <c r="AE34" s="257" t="s">
        <v>436</v>
      </c>
      <c r="AF34" s="257" t="s">
        <v>436</v>
      </c>
      <c r="AG34" s="257" t="s">
        <v>436</v>
      </c>
      <c r="AH34" s="120" t="s">
        <v>595</v>
      </c>
    </row>
    <row r="35" spans="1:36" x14ac:dyDescent="0.25">
      <c r="A35" s="240">
        <f t="shared" si="0"/>
        <v>30</v>
      </c>
      <c r="B35" s="90" t="s">
        <v>218</v>
      </c>
      <c r="C35" s="91" t="s">
        <v>455</v>
      </c>
      <c r="D35" s="257" t="s">
        <v>436</v>
      </c>
      <c r="E35" s="257" t="s">
        <v>436</v>
      </c>
      <c r="F35" s="257" t="s">
        <v>436</v>
      </c>
      <c r="G35" s="257" t="s">
        <v>436</v>
      </c>
      <c r="H35" s="257" t="s">
        <v>436</v>
      </c>
      <c r="I35" s="257" t="s">
        <v>436</v>
      </c>
      <c r="J35" s="257" t="s">
        <v>436</v>
      </c>
      <c r="K35" s="257" t="s">
        <v>436</v>
      </c>
      <c r="L35" s="257" t="s">
        <v>436</v>
      </c>
      <c r="M35" s="257" t="s">
        <v>436</v>
      </c>
      <c r="N35" s="257" t="s">
        <v>436</v>
      </c>
      <c r="O35" s="257" t="s">
        <v>436</v>
      </c>
      <c r="P35" s="257" t="s">
        <v>436</v>
      </c>
      <c r="Q35" s="257" t="s">
        <v>436</v>
      </c>
      <c r="R35" s="257" t="s">
        <v>436</v>
      </c>
      <c r="S35" s="257" t="s">
        <v>436</v>
      </c>
      <c r="T35" s="257" t="s">
        <v>436</v>
      </c>
      <c r="U35" s="257" t="s">
        <v>436</v>
      </c>
      <c r="V35" s="257" t="s">
        <v>436</v>
      </c>
      <c r="W35" s="257" t="s">
        <v>436</v>
      </c>
      <c r="X35" s="257" t="s">
        <v>436</v>
      </c>
      <c r="Y35" s="257" t="s">
        <v>436</v>
      </c>
      <c r="Z35" s="257" t="s">
        <v>436</v>
      </c>
      <c r="AA35" s="257" t="s">
        <v>436</v>
      </c>
      <c r="AB35" s="257" t="s">
        <v>436</v>
      </c>
      <c r="AC35" s="257" t="s">
        <v>436</v>
      </c>
      <c r="AD35" s="257" t="s">
        <v>436</v>
      </c>
      <c r="AE35" s="257" t="s">
        <v>436</v>
      </c>
      <c r="AF35" s="257" t="s">
        <v>436</v>
      </c>
      <c r="AG35" s="257" t="s">
        <v>436</v>
      </c>
      <c r="AH35" s="120" t="s">
        <v>452</v>
      </c>
    </row>
    <row r="36" spans="1:36" s="73" customFormat="1" x14ac:dyDescent="0.25">
      <c r="A36" s="240">
        <f t="shared" si="0"/>
        <v>31</v>
      </c>
      <c r="B36" s="90" t="s">
        <v>232</v>
      </c>
      <c r="C36" s="91" t="s">
        <v>233</v>
      </c>
      <c r="D36" s="257" t="s">
        <v>436</v>
      </c>
      <c r="E36" s="257" t="s">
        <v>436</v>
      </c>
      <c r="F36" s="257" t="s">
        <v>436</v>
      </c>
      <c r="G36" s="257" t="s">
        <v>436</v>
      </c>
      <c r="H36" s="257" t="s">
        <v>436</v>
      </c>
      <c r="I36" s="257" t="s">
        <v>436</v>
      </c>
      <c r="J36" s="257" t="s">
        <v>436</v>
      </c>
      <c r="K36" s="257" t="s">
        <v>436</v>
      </c>
      <c r="L36" s="257" t="s">
        <v>436</v>
      </c>
      <c r="M36" s="257" t="s">
        <v>436</v>
      </c>
      <c r="N36" s="257" t="s">
        <v>436</v>
      </c>
      <c r="O36" s="257" t="s">
        <v>436</v>
      </c>
      <c r="P36" s="257" t="s">
        <v>436</v>
      </c>
      <c r="Q36" s="257" t="s">
        <v>436</v>
      </c>
      <c r="R36" s="257" t="s">
        <v>436</v>
      </c>
      <c r="S36" s="257" t="s">
        <v>436</v>
      </c>
      <c r="T36" s="257" t="s">
        <v>436</v>
      </c>
      <c r="U36" s="257" t="s">
        <v>436</v>
      </c>
      <c r="V36" s="257" t="s">
        <v>436</v>
      </c>
      <c r="W36" s="257" t="s">
        <v>436</v>
      </c>
      <c r="X36" s="257" t="s">
        <v>436</v>
      </c>
      <c r="Y36" s="257" t="s">
        <v>436</v>
      </c>
      <c r="Z36" s="257" t="s">
        <v>436</v>
      </c>
      <c r="AA36" s="257" t="s">
        <v>436</v>
      </c>
      <c r="AB36" s="257" t="s">
        <v>436</v>
      </c>
      <c r="AC36" s="257" t="s">
        <v>436</v>
      </c>
      <c r="AD36" s="257" t="s">
        <v>436</v>
      </c>
      <c r="AE36" s="257" t="s">
        <v>436</v>
      </c>
      <c r="AF36" s="257" t="s">
        <v>436</v>
      </c>
      <c r="AG36" s="257" t="s">
        <v>436</v>
      </c>
      <c r="AH36" s="120" t="s">
        <v>452</v>
      </c>
    </row>
    <row r="37" spans="1:36" x14ac:dyDescent="0.25">
      <c r="A37" s="240">
        <f t="shared" si="0"/>
        <v>32</v>
      </c>
      <c r="B37" s="90" t="s">
        <v>264</v>
      </c>
      <c r="C37" s="91" t="s">
        <v>459</v>
      </c>
      <c r="D37" s="257" t="s">
        <v>436</v>
      </c>
      <c r="E37" s="257" t="s">
        <v>436</v>
      </c>
      <c r="F37" s="252" t="s">
        <v>426</v>
      </c>
      <c r="G37" s="257" t="s">
        <v>436</v>
      </c>
      <c r="H37" s="257" t="s">
        <v>436</v>
      </c>
      <c r="I37" s="257" t="s">
        <v>436</v>
      </c>
      <c r="J37" s="257" t="s">
        <v>436</v>
      </c>
      <c r="K37" s="257" t="s">
        <v>436</v>
      </c>
      <c r="L37" s="257" t="s">
        <v>436</v>
      </c>
      <c r="M37" s="257" t="s">
        <v>436</v>
      </c>
      <c r="N37" s="257" t="s">
        <v>436</v>
      </c>
      <c r="O37" s="257" t="s">
        <v>436</v>
      </c>
      <c r="P37" s="257" t="s">
        <v>436</v>
      </c>
      <c r="Q37" s="257" t="s">
        <v>436</v>
      </c>
      <c r="R37" s="257" t="s">
        <v>436</v>
      </c>
      <c r="S37" s="257" t="s">
        <v>436</v>
      </c>
      <c r="T37" s="257" t="s">
        <v>436</v>
      </c>
      <c r="U37" s="257" t="s">
        <v>436</v>
      </c>
      <c r="V37" s="257" t="s">
        <v>436</v>
      </c>
      <c r="W37" s="257" t="s">
        <v>436</v>
      </c>
      <c r="X37" s="257" t="s">
        <v>436</v>
      </c>
      <c r="Y37" s="257" t="s">
        <v>436</v>
      </c>
      <c r="Z37" s="257" t="s">
        <v>436</v>
      </c>
      <c r="AA37" s="257" t="s">
        <v>436</v>
      </c>
      <c r="AB37" s="257" t="s">
        <v>436</v>
      </c>
      <c r="AC37" s="257" t="s">
        <v>436</v>
      </c>
      <c r="AD37" s="257" t="s">
        <v>436</v>
      </c>
      <c r="AE37" s="257" t="s">
        <v>436</v>
      </c>
      <c r="AF37" s="257" t="s">
        <v>436</v>
      </c>
      <c r="AG37" s="257" t="s">
        <v>436</v>
      </c>
      <c r="AH37" s="120" t="s">
        <v>452</v>
      </c>
    </row>
    <row r="38" spans="1:36" x14ac:dyDescent="0.25">
      <c r="A38" s="240">
        <f t="shared" si="0"/>
        <v>33</v>
      </c>
      <c r="B38" s="90" t="s">
        <v>266</v>
      </c>
      <c r="C38" s="91" t="s">
        <v>460</v>
      </c>
      <c r="D38" s="257" t="s">
        <v>436</v>
      </c>
      <c r="E38" s="257" t="s">
        <v>436</v>
      </c>
      <c r="F38" s="257" t="s">
        <v>436</v>
      </c>
      <c r="G38" s="257" t="s">
        <v>436</v>
      </c>
      <c r="H38" s="257" t="s">
        <v>436</v>
      </c>
      <c r="I38" s="257" t="s">
        <v>436</v>
      </c>
      <c r="J38" s="257" t="s">
        <v>436</v>
      </c>
      <c r="K38" s="257" t="s">
        <v>436</v>
      </c>
      <c r="L38" s="257" t="s">
        <v>436</v>
      </c>
      <c r="M38" s="257" t="s">
        <v>436</v>
      </c>
      <c r="N38" s="257" t="s">
        <v>436</v>
      </c>
      <c r="O38" s="252" t="s">
        <v>426</v>
      </c>
      <c r="P38" s="257" t="s">
        <v>436</v>
      </c>
      <c r="Q38" s="257" t="s">
        <v>436</v>
      </c>
      <c r="R38" s="257" t="s">
        <v>436</v>
      </c>
      <c r="S38" s="257" t="s">
        <v>436</v>
      </c>
      <c r="T38" s="257" t="s">
        <v>436</v>
      </c>
      <c r="U38" s="257" t="s">
        <v>436</v>
      </c>
      <c r="V38" s="257" t="s">
        <v>436</v>
      </c>
      <c r="W38" s="257" t="s">
        <v>436</v>
      </c>
      <c r="X38" s="257" t="s">
        <v>436</v>
      </c>
      <c r="Y38" s="257" t="s">
        <v>436</v>
      </c>
      <c r="Z38" s="257" t="s">
        <v>436</v>
      </c>
      <c r="AA38" s="257" t="s">
        <v>436</v>
      </c>
      <c r="AB38" s="257" t="s">
        <v>436</v>
      </c>
      <c r="AC38" s="257" t="s">
        <v>436</v>
      </c>
      <c r="AD38" s="257" t="s">
        <v>436</v>
      </c>
      <c r="AE38" s="257" t="s">
        <v>436</v>
      </c>
      <c r="AF38" s="257" t="s">
        <v>436</v>
      </c>
      <c r="AG38" s="257" t="s">
        <v>436</v>
      </c>
      <c r="AH38" s="120" t="s">
        <v>452</v>
      </c>
    </row>
    <row r="39" spans="1:36" x14ac:dyDescent="0.25">
      <c r="A39" s="240">
        <f t="shared" si="0"/>
        <v>34</v>
      </c>
      <c r="B39" s="90" t="s">
        <v>274</v>
      </c>
      <c r="C39" s="91" t="s">
        <v>474</v>
      </c>
      <c r="D39" s="257" t="s">
        <v>436</v>
      </c>
      <c r="E39" s="257" t="s">
        <v>436</v>
      </c>
      <c r="F39" s="257" t="s">
        <v>436</v>
      </c>
      <c r="G39" s="257" t="s">
        <v>436</v>
      </c>
      <c r="H39" s="257" t="s">
        <v>436</v>
      </c>
      <c r="I39" s="257" t="s">
        <v>436</v>
      </c>
      <c r="J39" s="257" t="s">
        <v>436</v>
      </c>
      <c r="K39" s="257" t="s">
        <v>436</v>
      </c>
      <c r="L39" s="257" t="s">
        <v>436</v>
      </c>
      <c r="M39" s="257" t="s">
        <v>436</v>
      </c>
      <c r="N39" s="257" t="s">
        <v>436</v>
      </c>
      <c r="O39" s="257" t="s">
        <v>436</v>
      </c>
      <c r="P39" s="257" t="s">
        <v>436</v>
      </c>
      <c r="Q39" s="257" t="s">
        <v>436</v>
      </c>
      <c r="R39" s="257" t="s">
        <v>436</v>
      </c>
      <c r="S39" s="257" t="s">
        <v>436</v>
      </c>
      <c r="T39" s="257" t="s">
        <v>436</v>
      </c>
      <c r="U39" s="257" t="s">
        <v>436</v>
      </c>
      <c r="V39" s="257" t="s">
        <v>436</v>
      </c>
      <c r="W39" s="257" t="s">
        <v>436</v>
      </c>
      <c r="X39" s="257" t="s">
        <v>436</v>
      </c>
      <c r="Y39" s="257" t="s">
        <v>436</v>
      </c>
      <c r="Z39" s="257" t="s">
        <v>436</v>
      </c>
      <c r="AA39" s="257" t="s">
        <v>436</v>
      </c>
      <c r="AB39" s="257" t="s">
        <v>436</v>
      </c>
      <c r="AC39" s="257" t="s">
        <v>436</v>
      </c>
      <c r="AD39" s="257" t="s">
        <v>436</v>
      </c>
      <c r="AE39" s="257" t="s">
        <v>436</v>
      </c>
      <c r="AF39" s="257" t="s">
        <v>436</v>
      </c>
      <c r="AG39" s="257" t="s">
        <v>436</v>
      </c>
      <c r="AH39" s="120" t="s">
        <v>452</v>
      </c>
    </row>
    <row r="40" spans="1:36" x14ac:dyDescent="0.25">
      <c r="A40" s="240">
        <f t="shared" si="0"/>
        <v>35</v>
      </c>
      <c r="B40" s="80" t="s">
        <v>310</v>
      </c>
      <c r="C40" s="91" t="s">
        <v>311</v>
      </c>
      <c r="D40" s="257" t="s">
        <v>436</v>
      </c>
      <c r="E40" s="258" t="s">
        <v>442</v>
      </c>
      <c r="F40" s="257" t="s">
        <v>436</v>
      </c>
      <c r="G40" s="257" t="s">
        <v>436</v>
      </c>
      <c r="H40" s="257" t="s">
        <v>436</v>
      </c>
      <c r="I40" s="257" t="s">
        <v>436</v>
      </c>
      <c r="J40" s="257" t="s">
        <v>436</v>
      </c>
      <c r="K40" s="257" t="s">
        <v>436</v>
      </c>
      <c r="L40" s="257" t="s">
        <v>436</v>
      </c>
      <c r="M40" s="257" t="s">
        <v>436</v>
      </c>
      <c r="N40" s="257" t="s">
        <v>436</v>
      </c>
      <c r="O40" s="257" t="s">
        <v>436</v>
      </c>
      <c r="P40" s="257" t="s">
        <v>436</v>
      </c>
      <c r="Q40" s="257" t="s">
        <v>436</v>
      </c>
      <c r="R40" s="257" t="s">
        <v>436</v>
      </c>
      <c r="S40" s="258" t="s">
        <v>442</v>
      </c>
      <c r="T40" s="257" t="s">
        <v>436</v>
      </c>
      <c r="U40" s="257" t="s">
        <v>436</v>
      </c>
      <c r="V40" s="257" t="s">
        <v>436</v>
      </c>
      <c r="W40" s="257" t="s">
        <v>436</v>
      </c>
      <c r="X40" s="257" t="s">
        <v>436</v>
      </c>
      <c r="Y40" s="257" t="s">
        <v>436</v>
      </c>
      <c r="Z40" s="257" t="s">
        <v>436</v>
      </c>
      <c r="AA40" s="257" t="s">
        <v>436</v>
      </c>
      <c r="AB40" s="257" t="s">
        <v>436</v>
      </c>
      <c r="AC40" s="257" t="s">
        <v>436</v>
      </c>
      <c r="AD40" s="257" t="s">
        <v>436</v>
      </c>
      <c r="AE40" s="257" t="s">
        <v>436</v>
      </c>
      <c r="AF40" s="257" t="s">
        <v>436</v>
      </c>
      <c r="AG40" s="258" t="s">
        <v>442</v>
      </c>
      <c r="AH40" s="120" t="s">
        <v>452</v>
      </c>
      <c r="AI40" s="260"/>
      <c r="AJ40" s="260"/>
    </row>
    <row r="41" spans="1:36" s="73" customFormat="1" ht="15.75" x14ac:dyDescent="0.25">
      <c r="A41" s="240">
        <f t="shared" si="0"/>
        <v>36</v>
      </c>
      <c r="B41" s="119" t="s">
        <v>318</v>
      </c>
      <c r="C41" s="92" t="s">
        <v>319</v>
      </c>
      <c r="D41" s="257" t="s">
        <v>436</v>
      </c>
      <c r="E41" s="257" t="s">
        <v>436</v>
      </c>
      <c r="F41" s="257" t="s">
        <v>436</v>
      </c>
      <c r="G41" s="261" t="s">
        <v>426</v>
      </c>
      <c r="H41" s="257" t="s">
        <v>436</v>
      </c>
      <c r="I41" s="257" t="s">
        <v>436</v>
      </c>
      <c r="J41" s="257" t="s">
        <v>436</v>
      </c>
      <c r="K41" s="257" t="s">
        <v>436</v>
      </c>
      <c r="L41" s="257" t="s">
        <v>436</v>
      </c>
      <c r="M41" s="257" t="s">
        <v>436</v>
      </c>
      <c r="N41" s="257" t="s">
        <v>436</v>
      </c>
      <c r="O41" s="257" t="s">
        <v>436</v>
      </c>
      <c r="P41" s="257" t="s">
        <v>436</v>
      </c>
      <c r="Q41" s="257" t="s">
        <v>436</v>
      </c>
      <c r="R41" s="257" t="s">
        <v>436</v>
      </c>
      <c r="S41" s="257" t="s">
        <v>436</v>
      </c>
      <c r="T41" s="257" t="s">
        <v>436</v>
      </c>
      <c r="U41" s="257" t="s">
        <v>436</v>
      </c>
      <c r="V41" s="257" t="s">
        <v>436</v>
      </c>
      <c r="W41" s="257" t="s">
        <v>436</v>
      </c>
      <c r="X41" s="257" t="s">
        <v>436</v>
      </c>
      <c r="Y41" s="257" t="s">
        <v>436</v>
      </c>
      <c r="Z41" s="257" t="s">
        <v>436</v>
      </c>
      <c r="AA41" s="257" t="s">
        <v>436</v>
      </c>
      <c r="AB41" s="257" t="s">
        <v>436</v>
      </c>
      <c r="AC41" s="257" t="s">
        <v>436</v>
      </c>
      <c r="AD41" s="257" t="s">
        <v>436</v>
      </c>
      <c r="AE41" s="257" t="s">
        <v>436</v>
      </c>
      <c r="AF41" s="257" t="s">
        <v>436</v>
      </c>
      <c r="AG41" s="257" t="s">
        <v>436</v>
      </c>
      <c r="AH41" s="120" t="s">
        <v>452</v>
      </c>
      <c r="AI41"/>
      <c r="AJ41"/>
    </row>
    <row r="42" spans="1:36" s="73" customFormat="1" x14ac:dyDescent="0.25">
      <c r="A42" s="240">
        <f t="shared" si="0"/>
        <v>37</v>
      </c>
      <c r="B42" s="102" t="s">
        <v>519</v>
      </c>
      <c r="C42" s="103" t="s">
        <v>520</v>
      </c>
      <c r="D42" s="257" t="s">
        <v>436</v>
      </c>
      <c r="E42" s="257" t="s">
        <v>436</v>
      </c>
      <c r="F42" s="257" t="s">
        <v>436</v>
      </c>
      <c r="G42" s="257" t="s">
        <v>436</v>
      </c>
      <c r="H42" s="257" t="s">
        <v>436</v>
      </c>
      <c r="I42" s="257" t="s">
        <v>436</v>
      </c>
      <c r="J42" s="257" t="s">
        <v>436</v>
      </c>
      <c r="K42" s="257" t="s">
        <v>436</v>
      </c>
      <c r="L42" s="257" t="s">
        <v>436</v>
      </c>
      <c r="M42" s="257" t="s">
        <v>436</v>
      </c>
      <c r="N42" s="257" t="s">
        <v>436</v>
      </c>
      <c r="O42" s="257" t="s">
        <v>436</v>
      </c>
      <c r="P42" s="257" t="s">
        <v>436</v>
      </c>
      <c r="Q42" s="257" t="s">
        <v>436</v>
      </c>
      <c r="R42" s="257" t="s">
        <v>436</v>
      </c>
      <c r="S42" s="257" t="s">
        <v>436</v>
      </c>
      <c r="T42" s="257" t="s">
        <v>436</v>
      </c>
      <c r="U42" s="257" t="s">
        <v>436</v>
      </c>
      <c r="V42" s="257" t="s">
        <v>436</v>
      </c>
      <c r="W42" s="257" t="s">
        <v>436</v>
      </c>
      <c r="X42" s="257" t="s">
        <v>436</v>
      </c>
      <c r="Y42" s="257" t="s">
        <v>436</v>
      </c>
      <c r="Z42" s="257" t="s">
        <v>436</v>
      </c>
      <c r="AA42" s="257" t="s">
        <v>436</v>
      </c>
      <c r="AB42" s="257" t="s">
        <v>436</v>
      </c>
      <c r="AC42" s="257" t="s">
        <v>436</v>
      </c>
      <c r="AD42" s="257" t="s">
        <v>436</v>
      </c>
      <c r="AE42" s="257" t="s">
        <v>436</v>
      </c>
      <c r="AF42" s="257" t="s">
        <v>436</v>
      </c>
      <c r="AG42" s="257" t="s">
        <v>436</v>
      </c>
      <c r="AH42" s="120" t="s">
        <v>452</v>
      </c>
      <c r="AI42"/>
      <c r="AJ42"/>
    </row>
    <row r="43" spans="1:36" x14ac:dyDescent="0.25">
      <c r="A43" s="240">
        <f t="shared" si="0"/>
        <v>38</v>
      </c>
      <c r="B43" s="102" t="s">
        <v>521</v>
      </c>
      <c r="C43" s="103" t="s">
        <v>522</v>
      </c>
      <c r="D43" s="257" t="s">
        <v>436</v>
      </c>
      <c r="E43" s="257" t="s">
        <v>436</v>
      </c>
      <c r="F43" s="257" t="s">
        <v>436</v>
      </c>
      <c r="G43" s="257" t="s">
        <v>436</v>
      </c>
      <c r="H43" s="257" t="s">
        <v>436</v>
      </c>
      <c r="I43" s="257" t="s">
        <v>436</v>
      </c>
      <c r="J43" s="257" t="s">
        <v>436</v>
      </c>
      <c r="K43" s="257" t="s">
        <v>436</v>
      </c>
      <c r="L43" s="257" t="s">
        <v>436</v>
      </c>
      <c r="M43" s="257" t="s">
        <v>436</v>
      </c>
      <c r="N43" s="257" t="s">
        <v>436</v>
      </c>
      <c r="O43" s="257" t="s">
        <v>436</v>
      </c>
      <c r="P43" s="257" t="s">
        <v>436</v>
      </c>
      <c r="Q43" s="257" t="s">
        <v>436</v>
      </c>
      <c r="R43" s="257" t="s">
        <v>436</v>
      </c>
      <c r="S43" s="257" t="s">
        <v>436</v>
      </c>
      <c r="T43" s="257" t="s">
        <v>436</v>
      </c>
      <c r="U43" s="257" t="s">
        <v>436</v>
      </c>
      <c r="V43" s="257" t="s">
        <v>436</v>
      </c>
      <c r="W43" s="257" t="s">
        <v>436</v>
      </c>
      <c r="X43" s="257" t="s">
        <v>436</v>
      </c>
      <c r="Y43" s="257" t="s">
        <v>436</v>
      </c>
      <c r="Z43" s="257" t="s">
        <v>436</v>
      </c>
      <c r="AA43" s="257" t="s">
        <v>436</v>
      </c>
      <c r="AB43" s="257" t="s">
        <v>436</v>
      </c>
      <c r="AC43" s="257" t="s">
        <v>436</v>
      </c>
      <c r="AD43" s="257" t="s">
        <v>436</v>
      </c>
      <c r="AE43" s="257" t="s">
        <v>436</v>
      </c>
      <c r="AF43" s="257" t="s">
        <v>436</v>
      </c>
      <c r="AG43" s="257" t="s">
        <v>436</v>
      </c>
      <c r="AH43" s="120" t="s">
        <v>452</v>
      </c>
      <c r="AI43" s="260"/>
      <c r="AJ43" s="260"/>
    </row>
    <row r="44" spans="1:36" ht="15.75" x14ac:dyDescent="0.25">
      <c r="A44" s="240">
        <f t="shared" si="0"/>
        <v>39</v>
      </c>
      <c r="B44" s="119" t="s">
        <v>542</v>
      </c>
      <c r="C44" s="92" t="s">
        <v>543</v>
      </c>
      <c r="D44" s="257" t="s">
        <v>436</v>
      </c>
      <c r="E44" s="257" t="s">
        <v>436</v>
      </c>
      <c r="F44" s="257" t="s">
        <v>436</v>
      </c>
      <c r="G44" s="257" t="s">
        <v>436</v>
      </c>
      <c r="H44" s="257" t="s">
        <v>436</v>
      </c>
      <c r="I44" s="257" t="s">
        <v>436</v>
      </c>
      <c r="J44" s="257" t="s">
        <v>436</v>
      </c>
      <c r="K44" s="257" t="s">
        <v>436</v>
      </c>
      <c r="L44" s="261" t="s">
        <v>426</v>
      </c>
      <c r="M44" s="257" t="s">
        <v>436</v>
      </c>
      <c r="N44" s="257" t="s">
        <v>436</v>
      </c>
      <c r="O44" s="257" t="s">
        <v>436</v>
      </c>
      <c r="P44" s="257" t="s">
        <v>436</v>
      </c>
      <c r="Q44" s="257" t="s">
        <v>436</v>
      </c>
      <c r="R44" s="257" t="s">
        <v>436</v>
      </c>
      <c r="S44" s="257" t="s">
        <v>436</v>
      </c>
      <c r="T44" s="257" t="s">
        <v>436</v>
      </c>
      <c r="U44" s="257" t="s">
        <v>436</v>
      </c>
      <c r="V44" s="257" t="s">
        <v>436</v>
      </c>
      <c r="W44" s="257" t="s">
        <v>436</v>
      </c>
      <c r="X44" s="257" t="s">
        <v>436</v>
      </c>
      <c r="Y44" s="257" t="s">
        <v>436</v>
      </c>
      <c r="Z44" s="257" t="s">
        <v>436</v>
      </c>
      <c r="AA44" s="258" t="s">
        <v>442</v>
      </c>
      <c r="AB44" s="257" t="s">
        <v>436</v>
      </c>
      <c r="AC44" s="257" t="s">
        <v>436</v>
      </c>
      <c r="AD44" s="257" t="s">
        <v>436</v>
      </c>
      <c r="AE44" s="257" t="s">
        <v>436</v>
      </c>
      <c r="AF44" s="257" t="s">
        <v>436</v>
      </c>
      <c r="AG44" s="257" t="s">
        <v>436</v>
      </c>
      <c r="AH44" s="120" t="s">
        <v>452</v>
      </c>
      <c r="AI44" s="73"/>
      <c r="AJ44" s="73"/>
    </row>
    <row r="45" spans="1:36" s="73" customFormat="1" ht="20.25" customHeight="1" x14ac:dyDescent="0.2">
      <c r="A45" s="118">
        <f t="shared" si="0"/>
        <v>40</v>
      </c>
      <c r="B45" s="262">
        <v>695</v>
      </c>
      <c r="C45" s="92" t="s">
        <v>463</v>
      </c>
      <c r="D45" s="263" t="s">
        <v>436</v>
      </c>
      <c r="E45" s="263" t="s">
        <v>436</v>
      </c>
      <c r="F45" s="263" t="s">
        <v>436</v>
      </c>
      <c r="G45" s="263" t="s">
        <v>436</v>
      </c>
      <c r="H45" s="263" t="s">
        <v>436</v>
      </c>
      <c r="I45" s="263" t="s">
        <v>436</v>
      </c>
      <c r="J45" s="263" t="s">
        <v>436</v>
      </c>
      <c r="K45" s="263" t="s">
        <v>436</v>
      </c>
      <c r="L45" s="263" t="s">
        <v>436</v>
      </c>
      <c r="M45" s="263" t="s">
        <v>436</v>
      </c>
      <c r="N45" s="263" t="s">
        <v>436</v>
      </c>
      <c r="O45" s="263" t="s">
        <v>436</v>
      </c>
      <c r="P45" s="263" t="s">
        <v>436</v>
      </c>
      <c r="Q45" s="263" t="s">
        <v>436</v>
      </c>
      <c r="R45" s="263" t="s">
        <v>436</v>
      </c>
      <c r="S45" s="263" t="s">
        <v>436</v>
      </c>
      <c r="T45" s="263" t="s">
        <v>436</v>
      </c>
      <c r="U45" s="263" t="s">
        <v>436</v>
      </c>
      <c r="V45" s="263" t="s">
        <v>436</v>
      </c>
      <c r="W45" s="263" t="s">
        <v>436</v>
      </c>
      <c r="X45" s="263" t="s">
        <v>436</v>
      </c>
      <c r="Y45" s="263" t="s">
        <v>436</v>
      </c>
      <c r="Z45" s="263" t="s">
        <v>436</v>
      </c>
      <c r="AA45" s="264" t="s">
        <v>529</v>
      </c>
      <c r="AB45" s="263" t="s">
        <v>436</v>
      </c>
      <c r="AC45" s="263" t="s">
        <v>436</v>
      </c>
      <c r="AD45" s="263" t="s">
        <v>436</v>
      </c>
      <c r="AE45" s="263" t="s">
        <v>436</v>
      </c>
      <c r="AF45" s="263" t="s">
        <v>436</v>
      </c>
      <c r="AG45" s="263" t="s">
        <v>436</v>
      </c>
      <c r="AH45" s="115" t="s">
        <v>597</v>
      </c>
    </row>
    <row r="46" spans="1:36" x14ac:dyDescent="0.25">
      <c r="A46" s="240">
        <f t="shared" si="0"/>
        <v>41</v>
      </c>
      <c r="B46" s="90">
        <v>995</v>
      </c>
      <c r="C46" s="91" t="s">
        <v>445</v>
      </c>
      <c r="D46" s="263" t="s">
        <v>436</v>
      </c>
      <c r="E46" s="252" t="s">
        <v>426</v>
      </c>
      <c r="F46" s="263" t="s">
        <v>436</v>
      </c>
      <c r="G46" s="263" t="s">
        <v>436</v>
      </c>
      <c r="H46" s="263" t="s">
        <v>436</v>
      </c>
      <c r="I46" s="263" t="s">
        <v>436</v>
      </c>
      <c r="J46" s="263" t="s">
        <v>436</v>
      </c>
      <c r="K46" s="263" t="s">
        <v>436</v>
      </c>
      <c r="L46" s="263" t="s">
        <v>436</v>
      </c>
      <c r="M46" s="263" t="s">
        <v>436</v>
      </c>
      <c r="N46" s="263" t="s">
        <v>436</v>
      </c>
      <c r="O46" s="263" t="s">
        <v>436</v>
      </c>
      <c r="P46" s="263" t="s">
        <v>436</v>
      </c>
      <c r="Q46" s="263" t="s">
        <v>436</v>
      </c>
      <c r="R46" s="263" t="s">
        <v>436</v>
      </c>
      <c r="S46" s="258" t="s">
        <v>442</v>
      </c>
      <c r="T46" s="265" t="s">
        <v>436</v>
      </c>
      <c r="U46" s="263" t="s">
        <v>436</v>
      </c>
      <c r="V46" s="263" t="s">
        <v>436</v>
      </c>
      <c r="W46" s="263" t="s">
        <v>436</v>
      </c>
      <c r="X46" s="263" t="s">
        <v>436</v>
      </c>
      <c r="Y46" s="263" t="s">
        <v>436</v>
      </c>
      <c r="Z46" s="263" t="s">
        <v>436</v>
      </c>
      <c r="AA46" s="263" t="s">
        <v>436</v>
      </c>
      <c r="AB46" s="263" t="s">
        <v>436</v>
      </c>
      <c r="AC46" s="263" t="s">
        <v>436</v>
      </c>
      <c r="AD46" s="263" t="s">
        <v>436</v>
      </c>
      <c r="AE46" s="263" t="s">
        <v>436</v>
      </c>
      <c r="AF46" s="252" t="s">
        <v>426</v>
      </c>
      <c r="AG46" s="263" t="s">
        <v>436</v>
      </c>
      <c r="AH46" s="115" t="s">
        <v>597</v>
      </c>
      <c r="AI46" s="260"/>
      <c r="AJ46" s="260"/>
    </row>
    <row r="47" spans="1:36" x14ac:dyDescent="0.25">
      <c r="A47" s="240">
        <f t="shared" si="0"/>
        <v>42</v>
      </c>
      <c r="B47" s="266" t="s">
        <v>360</v>
      </c>
      <c r="C47" s="267" t="s">
        <v>437</v>
      </c>
      <c r="D47" s="263" t="s">
        <v>436</v>
      </c>
      <c r="E47" s="263" t="s">
        <v>436</v>
      </c>
      <c r="F47" s="263" t="s">
        <v>436</v>
      </c>
      <c r="G47" s="263" t="s">
        <v>436</v>
      </c>
      <c r="H47" s="263" t="s">
        <v>436</v>
      </c>
      <c r="I47" s="263" t="s">
        <v>436</v>
      </c>
      <c r="J47" s="263" t="s">
        <v>436</v>
      </c>
      <c r="K47" s="263" t="s">
        <v>436</v>
      </c>
      <c r="L47" s="263" t="s">
        <v>436</v>
      </c>
      <c r="M47" s="263" t="s">
        <v>436</v>
      </c>
      <c r="N47" s="263" t="s">
        <v>436</v>
      </c>
      <c r="O47" s="263" t="s">
        <v>436</v>
      </c>
      <c r="P47" s="263" t="s">
        <v>436</v>
      </c>
      <c r="Q47" s="263" t="s">
        <v>436</v>
      </c>
      <c r="R47" s="263" t="s">
        <v>436</v>
      </c>
      <c r="S47" s="263" t="s">
        <v>436</v>
      </c>
      <c r="T47" s="263" t="s">
        <v>436</v>
      </c>
      <c r="U47" s="263" t="s">
        <v>436</v>
      </c>
      <c r="V47" s="263" t="s">
        <v>436</v>
      </c>
      <c r="W47" s="263" t="s">
        <v>436</v>
      </c>
      <c r="X47" s="263" t="s">
        <v>436</v>
      </c>
      <c r="Y47" s="263" t="s">
        <v>436</v>
      </c>
      <c r="Z47" s="263" t="s">
        <v>436</v>
      </c>
      <c r="AA47" s="263" t="s">
        <v>436</v>
      </c>
      <c r="AB47" s="263" t="s">
        <v>436</v>
      </c>
      <c r="AC47" s="263" t="s">
        <v>436</v>
      </c>
      <c r="AD47" s="263" t="s">
        <v>436</v>
      </c>
      <c r="AE47" s="263" t="s">
        <v>436</v>
      </c>
      <c r="AF47" s="263" t="s">
        <v>436</v>
      </c>
      <c r="AG47" s="263" t="s">
        <v>436</v>
      </c>
      <c r="AH47" s="115" t="s">
        <v>597</v>
      </c>
      <c r="AI47" s="268"/>
      <c r="AJ47" s="268"/>
    </row>
    <row r="48" spans="1:36" x14ac:dyDescent="0.25">
      <c r="A48" s="240">
        <f t="shared" si="0"/>
        <v>43</v>
      </c>
      <c r="B48" s="90" t="s">
        <v>174</v>
      </c>
      <c r="C48" s="91" t="s">
        <v>465</v>
      </c>
      <c r="D48" s="263" t="s">
        <v>436</v>
      </c>
      <c r="E48" s="263" t="s">
        <v>436</v>
      </c>
      <c r="F48" s="263" t="s">
        <v>436</v>
      </c>
      <c r="G48" s="263" t="s">
        <v>436</v>
      </c>
      <c r="H48" s="263" t="s">
        <v>436</v>
      </c>
      <c r="I48" s="263" t="s">
        <v>436</v>
      </c>
      <c r="J48" s="263" t="s">
        <v>436</v>
      </c>
      <c r="K48" s="263" t="s">
        <v>436</v>
      </c>
      <c r="L48" s="263" t="s">
        <v>436</v>
      </c>
      <c r="M48" s="263" t="s">
        <v>436</v>
      </c>
      <c r="N48" s="263" t="s">
        <v>436</v>
      </c>
      <c r="O48" s="263" t="s">
        <v>436</v>
      </c>
      <c r="P48" s="263" t="s">
        <v>436</v>
      </c>
      <c r="Q48" s="263" t="s">
        <v>436</v>
      </c>
      <c r="R48" s="263" t="s">
        <v>436</v>
      </c>
      <c r="S48" s="263" t="s">
        <v>436</v>
      </c>
      <c r="T48" s="263" t="s">
        <v>436</v>
      </c>
      <c r="U48" s="263" t="s">
        <v>436</v>
      </c>
      <c r="V48" s="263" t="s">
        <v>436</v>
      </c>
      <c r="W48" s="263" t="s">
        <v>436</v>
      </c>
      <c r="X48" s="263" t="s">
        <v>436</v>
      </c>
      <c r="Y48" s="263" t="s">
        <v>436</v>
      </c>
      <c r="Z48" s="263" t="s">
        <v>436</v>
      </c>
      <c r="AA48" s="263" t="s">
        <v>436</v>
      </c>
      <c r="AB48" s="263" t="s">
        <v>436</v>
      </c>
      <c r="AC48" s="263" t="s">
        <v>436</v>
      </c>
      <c r="AD48" s="263" t="s">
        <v>436</v>
      </c>
      <c r="AE48" s="263" t="s">
        <v>436</v>
      </c>
      <c r="AF48" s="263" t="s">
        <v>436</v>
      </c>
      <c r="AG48" s="263" t="s">
        <v>436</v>
      </c>
      <c r="AH48" s="115" t="s">
        <v>597</v>
      </c>
    </row>
    <row r="49" spans="1:36" x14ac:dyDescent="0.25">
      <c r="A49" s="240">
        <f t="shared" si="0"/>
        <v>44</v>
      </c>
      <c r="B49" s="109" t="s">
        <v>230</v>
      </c>
      <c r="C49" s="92" t="s">
        <v>473</v>
      </c>
      <c r="D49" s="263" t="s">
        <v>436</v>
      </c>
      <c r="E49" s="263" t="s">
        <v>436</v>
      </c>
      <c r="F49" s="263" t="s">
        <v>436</v>
      </c>
      <c r="G49" s="263" t="s">
        <v>436</v>
      </c>
      <c r="H49" s="263" t="s">
        <v>436</v>
      </c>
      <c r="I49" s="263" t="s">
        <v>436</v>
      </c>
      <c r="J49" s="263" t="s">
        <v>436</v>
      </c>
      <c r="K49" s="263" t="s">
        <v>436</v>
      </c>
      <c r="L49" s="263" t="s">
        <v>436</v>
      </c>
      <c r="M49" s="263" t="s">
        <v>436</v>
      </c>
      <c r="N49" s="263" t="s">
        <v>436</v>
      </c>
      <c r="O49" s="263" t="s">
        <v>436</v>
      </c>
      <c r="P49" s="263" t="s">
        <v>436</v>
      </c>
      <c r="Q49" s="263" t="s">
        <v>436</v>
      </c>
      <c r="R49" s="263" t="s">
        <v>436</v>
      </c>
      <c r="S49" s="263" t="s">
        <v>436</v>
      </c>
      <c r="T49" s="263" t="s">
        <v>436</v>
      </c>
      <c r="U49" s="263" t="s">
        <v>436</v>
      </c>
      <c r="V49" s="263" t="s">
        <v>436</v>
      </c>
      <c r="W49" s="263" t="s">
        <v>436</v>
      </c>
      <c r="X49" s="263" t="s">
        <v>436</v>
      </c>
      <c r="Y49" s="263" t="s">
        <v>436</v>
      </c>
      <c r="Z49" s="263" t="s">
        <v>436</v>
      </c>
      <c r="AA49" s="263" t="s">
        <v>436</v>
      </c>
      <c r="AB49" s="263" t="s">
        <v>436</v>
      </c>
      <c r="AC49" s="263" t="s">
        <v>436</v>
      </c>
      <c r="AD49" s="263" t="s">
        <v>436</v>
      </c>
      <c r="AE49" s="263" t="s">
        <v>436</v>
      </c>
      <c r="AF49" s="263" t="s">
        <v>436</v>
      </c>
      <c r="AG49" s="263" t="s">
        <v>436</v>
      </c>
      <c r="AH49" s="115" t="s">
        <v>597</v>
      </c>
    </row>
    <row r="50" spans="1:36" x14ac:dyDescent="0.25">
      <c r="A50" s="240">
        <f t="shared" si="0"/>
        <v>45</v>
      </c>
      <c r="B50" s="90" t="s">
        <v>344</v>
      </c>
      <c r="C50" s="101" t="s">
        <v>345</v>
      </c>
      <c r="D50" s="263" t="s">
        <v>436</v>
      </c>
      <c r="E50" s="263" t="s">
        <v>436</v>
      </c>
      <c r="F50" s="263" t="s">
        <v>436</v>
      </c>
      <c r="G50" s="263" t="s">
        <v>436</v>
      </c>
      <c r="H50" s="263" t="s">
        <v>436</v>
      </c>
      <c r="I50" s="263" t="s">
        <v>436</v>
      </c>
      <c r="J50" s="263" t="s">
        <v>436</v>
      </c>
      <c r="K50" s="263" t="s">
        <v>436</v>
      </c>
      <c r="L50" s="263" t="s">
        <v>436</v>
      </c>
      <c r="M50" s="263" t="s">
        <v>436</v>
      </c>
      <c r="N50" s="263" t="s">
        <v>436</v>
      </c>
      <c r="O50" s="263" t="s">
        <v>436</v>
      </c>
      <c r="P50" s="263" t="s">
        <v>436</v>
      </c>
      <c r="Q50" s="263" t="s">
        <v>436</v>
      </c>
      <c r="R50" s="263" t="s">
        <v>436</v>
      </c>
      <c r="S50" s="263" t="s">
        <v>436</v>
      </c>
      <c r="T50" s="263" t="s">
        <v>436</v>
      </c>
      <c r="U50" s="263" t="s">
        <v>436</v>
      </c>
      <c r="V50" s="263" t="s">
        <v>436</v>
      </c>
      <c r="W50" s="263" t="s">
        <v>436</v>
      </c>
      <c r="X50" s="263" t="s">
        <v>436</v>
      </c>
      <c r="Y50" s="263" t="s">
        <v>436</v>
      </c>
      <c r="Z50" s="263" t="s">
        <v>436</v>
      </c>
      <c r="AA50" s="263" t="s">
        <v>436</v>
      </c>
      <c r="AB50" s="263" t="s">
        <v>436</v>
      </c>
      <c r="AC50" s="263" t="s">
        <v>436</v>
      </c>
      <c r="AD50" s="263" t="s">
        <v>436</v>
      </c>
      <c r="AE50" s="263" t="s">
        <v>436</v>
      </c>
      <c r="AF50" s="263" t="s">
        <v>436</v>
      </c>
      <c r="AG50" s="263" t="s">
        <v>436</v>
      </c>
      <c r="AH50" s="115" t="s">
        <v>597</v>
      </c>
    </row>
    <row r="51" spans="1:36" s="73" customFormat="1" ht="15" customHeight="1" x14ac:dyDescent="0.25">
      <c r="A51" s="240">
        <f t="shared" si="0"/>
        <v>46</v>
      </c>
      <c r="B51" s="269" t="s">
        <v>536</v>
      </c>
      <c r="C51" s="270" t="s">
        <v>537</v>
      </c>
      <c r="D51" s="263" t="s">
        <v>436</v>
      </c>
      <c r="E51" s="263" t="s">
        <v>436</v>
      </c>
      <c r="F51" s="263" t="s">
        <v>436</v>
      </c>
      <c r="G51" s="263" t="s">
        <v>436</v>
      </c>
      <c r="H51" s="263" t="s">
        <v>436</v>
      </c>
      <c r="I51" s="271" t="s">
        <v>442</v>
      </c>
      <c r="J51" s="263" t="s">
        <v>436</v>
      </c>
      <c r="K51" s="263" t="s">
        <v>436</v>
      </c>
      <c r="L51" s="263" t="s">
        <v>436</v>
      </c>
      <c r="M51" s="263" t="s">
        <v>436</v>
      </c>
      <c r="N51" s="263" t="s">
        <v>436</v>
      </c>
      <c r="O51" s="263" t="s">
        <v>436</v>
      </c>
      <c r="P51" s="263" t="s">
        <v>436</v>
      </c>
      <c r="Q51" s="263" t="s">
        <v>436</v>
      </c>
      <c r="R51" s="263" t="s">
        <v>436</v>
      </c>
      <c r="S51" s="263" t="s">
        <v>436</v>
      </c>
      <c r="T51" s="263" t="s">
        <v>436</v>
      </c>
      <c r="U51" s="263" t="s">
        <v>436</v>
      </c>
      <c r="V51" s="263" t="s">
        <v>436</v>
      </c>
      <c r="W51" s="263" t="s">
        <v>436</v>
      </c>
      <c r="X51" s="263" t="s">
        <v>436</v>
      </c>
      <c r="Y51" s="263" t="s">
        <v>436</v>
      </c>
      <c r="Z51" s="263" t="s">
        <v>436</v>
      </c>
      <c r="AA51" s="263" t="s">
        <v>436</v>
      </c>
      <c r="AB51" s="263" t="s">
        <v>436</v>
      </c>
      <c r="AC51" s="263" t="s">
        <v>436</v>
      </c>
      <c r="AD51" s="263" t="s">
        <v>436</v>
      </c>
      <c r="AE51" s="263" t="s">
        <v>436</v>
      </c>
      <c r="AF51" s="263" t="s">
        <v>436</v>
      </c>
      <c r="AG51" s="263" t="s">
        <v>436</v>
      </c>
      <c r="AH51" s="115" t="s">
        <v>597</v>
      </c>
    </row>
    <row r="52" spans="1:36" s="73" customFormat="1" ht="15" customHeight="1" x14ac:dyDescent="0.25">
      <c r="A52" s="240">
        <f t="shared" si="0"/>
        <v>47</v>
      </c>
      <c r="B52" s="272" t="s">
        <v>568</v>
      </c>
      <c r="C52" s="273" t="s">
        <v>561</v>
      </c>
      <c r="D52" s="263" t="s">
        <v>436</v>
      </c>
      <c r="E52" s="263" t="s">
        <v>436</v>
      </c>
      <c r="F52" s="263" t="s">
        <v>436</v>
      </c>
      <c r="G52" s="263" t="s">
        <v>436</v>
      </c>
      <c r="H52" s="263" t="s">
        <v>436</v>
      </c>
      <c r="I52" s="263" t="s">
        <v>436</v>
      </c>
      <c r="J52" s="263" t="s">
        <v>436</v>
      </c>
      <c r="K52" s="263" t="s">
        <v>436</v>
      </c>
      <c r="L52" s="263" t="s">
        <v>436</v>
      </c>
      <c r="M52" s="263" t="s">
        <v>436</v>
      </c>
      <c r="N52" s="263" t="s">
        <v>436</v>
      </c>
      <c r="O52" s="263" t="s">
        <v>436</v>
      </c>
      <c r="P52" s="263" t="s">
        <v>436</v>
      </c>
      <c r="Q52" s="263" t="s">
        <v>436</v>
      </c>
      <c r="R52" s="263" t="s">
        <v>436</v>
      </c>
      <c r="S52" s="263" t="s">
        <v>436</v>
      </c>
      <c r="T52" s="263" t="s">
        <v>436</v>
      </c>
      <c r="U52" s="263" t="s">
        <v>436</v>
      </c>
      <c r="V52" s="263" t="s">
        <v>436</v>
      </c>
      <c r="W52" s="263" t="s">
        <v>436</v>
      </c>
      <c r="X52" s="263" t="s">
        <v>436</v>
      </c>
      <c r="Y52" s="263" t="s">
        <v>436</v>
      </c>
      <c r="Z52" s="263" t="s">
        <v>436</v>
      </c>
      <c r="AA52" s="263" t="s">
        <v>436</v>
      </c>
      <c r="AB52" s="263" t="s">
        <v>436</v>
      </c>
      <c r="AC52" s="263" t="s">
        <v>436</v>
      </c>
      <c r="AD52" s="263" t="s">
        <v>436</v>
      </c>
      <c r="AE52" s="263" t="s">
        <v>436</v>
      </c>
      <c r="AF52" s="263" t="s">
        <v>436</v>
      </c>
      <c r="AG52" s="263" t="s">
        <v>436</v>
      </c>
      <c r="AH52" s="115" t="s">
        <v>597</v>
      </c>
      <c r="AI52"/>
      <c r="AJ52"/>
    </row>
    <row r="53" spans="1:36" s="73" customFormat="1" ht="15.75" customHeight="1" x14ac:dyDescent="0.25">
      <c r="A53" s="240">
        <f t="shared" si="0"/>
        <v>48</v>
      </c>
      <c r="B53" s="90">
        <v>821</v>
      </c>
      <c r="C53" s="91" t="s">
        <v>461</v>
      </c>
      <c r="D53" s="93" t="s">
        <v>436</v>
      </c>
      <c r="E53" s="93" t="s">
        <v>436</v>
      </c>
      <c r="F53" s="93" t="s">
        <v>436</v>
      </c>
      <c r="G53" s="93" t="s">
        <v>436</v>
      </c>
      <c r="H53" s="93" t="s">
        <v>436</v>
      </c>
      <c r="I53" s="93" t="s">
        <v>436</v>
      </c>
      <c r="J53" s="93" t="s">
        <v>436</v>
      </c>
      <c r="K53" s="93" t="s">
        <v>436</v>
      </c>
      <c r="L53" s="93" t="s">
        <v>436</v>
      </c>
      <c r="M53" s="93" t="s">
        <v>436</v>
      </c>
      <c r="N53" s="93" t="s">
        <v>436</v>
      </c>
      <c r="O53" s="93" t="s">
        <v>436</v>
      </c>
      <c r="P53" s="93" t="s">
        <v>436</v>
      </c>
      <c r="Q53" s="93" t="s">
        <v>436</v>
      </c>
      <c r="R53" s="93" t="s">
        <v>436</v>
      </c>
      <c r="S53" s="93" t="s">
        <v>436</v>
      </c>
      <c r="T53" s="93" t="s">
        <v>436</v>
      </c>
      <c r="U53" s="93" t="s">
        <v>436</v>
      </c>
      <c r="V53" s="93" t="s">
        <v>436</v>
      </c>
      <c r="W53" s="93" t="s">
        <v>436</v>
      </c>
      <c r="X53" s="93" t="s">
        <v>436</v>
      </c>
      <c r="Y53" s="93" t="s">
        <v>436</v>
      </c>
      <c r="Z53" s="93" t="s">
        <v>436</v>
      </c>
      <c r="AA53" s="93" t="s">
        <v>436</v>
      </c>
      <c r="AB53" s="93" t="s">
        <v>436</v>
      </c>
      <c r="AC53" s="93" t="s">
        <v>436</v>
      </c>
      <c r="AD53" s="93" t="s">
        <v>436</v>
      </c>
      <c r="AE53" s="93" t="s">
        <v>436</v>
      </c>
      <c r="AF53" s="93" t="s">
        <v>436</v>
      </c>
      <c r="AG53" s="93" t="s">
        <v>436</v>
      </c>
      <c r="AH53" s="115" t="s">
        <v>424</v>
      </c>
    </row>
    <row r="54" spans="1:36" s="73" customFormat="1" ht="15.75" x14ac:dyDescent="0.25">
      <c r="A54" s="240">
        <f t="shared" si="0"/>
        <v>49</v>
      </c>
      <c r="B54" s="75">
        <v>984</v>
      </c>
      <c r="C54" s="92" t="s">
        <v>124</v>
      </c>
      <c r="D54" s="93" t="s">
        <v>436</v>
      </c>
      <c r="E54" s="93" t="s">
        <v>436</v>
      </c>
      <c r="F54" s="93" t="s">
        <v>436</v>
      </c>
      <c r="G54" s="93" t="s">
        <v>436</v>
      </c>
      <c r="H54" s="93" t="s">
        <v>436</v>
      </c>
      <c r="I54" s="93" t="s">
        <v>436</v>
      </c>
      <c r="J54" s="93" t="s">
        <v>436</v>
      </c>
      <c r="K54" s="93" t="s">
        <v>436</v>
      </c>
      <c r="L54" s="93" t="s">
        <v>436</v>
      </c>
      <c r="M54" s="93" t="s">
        <v>436</v>
      </c>
      <c r="N54" s="93" t="s">
        <v>436</v>
      </c>
      <c r="O54" s="93" t="s">
        <v>436</v>
      </c>
      <c r="P54" s="93" t="s">
        <v>436</v>
      </c>
      <c r="Q54" s="93" t="s">
        <v>436</v>
      </c>
      <c r="R54" s="93" t="s">
        <v>436</v>
      </c>
      <c r="S54" s="93" t="s">
        <v>436</v>
      </c>
      <c r="T54" s="93" t="s">
        <v>436</v>
      </c>
      <c r="U54" s="93" t="s">
        <v>436</v>
      </c>
      <c r="V54" s="93" t="s">
        <v>436</v>
      </c>
      <c r="W54" s="93" t="s">
        <v>436</v>
      </c>
      <c r="X54" s="93" t="s">
        <v>436</v>
      </c>
      <c r="Y54" s="93" t="s">
        <v>436</v>
      </c>
      <c r="Z54" s="93" t="s">
        <v>436</v>
      </c>
      <c r="AA54" s="93" t="s">
        <v>436</v>
      </c>
      <c r="AB54" s="93" t="s">
        <v>436</v>
      </c>
      <c r="AC54" s="93" t="s">
        <v>436</v>
      </c>
      <c r="AD54" s="93" t="s">
        <v>436</v>
      </c>
      <c r="AE54" s="93" t="s">
        <v>436</v>
      </c>
      <c r="AF54" s="93" t="s">
        <v>436</v>
      </c>
      <c r="AG54" s="93" t="s">
        <v>436</v>
      </c>
      <c r="AH54" s="115" t="s">
        <v>424</v>
      </c>
    </row>
    <row r="55" spans="1:36" s="73" customFormat="1" ht="15.75" customHeight="1" x14ac:dyDescent="0.25">
      <c r="A55" s="240">
        <f t="shared" si="0"/>
        <v>50</v>
      </c>
      <c r="B55" s="90">
        <v>1045</v>
      </c>
      <c r="C55" s="91" t="s">
        <v>503</v>
      </c>
      <c r="D55" s="93" t="s">
        <v>436</v>
      </c>
      <c r="E55" s="93" t="s">
        <v>436</v>
      </c>
      <c r="F55" s="93" t="s">
        <v>436</v>
      </c>
      <c r="G55" s="93" t="s">
        <v>436</v>
      </c>
      <c r="H55" s="93" t="s">
        <v>436</v>
      </c>
      <c r="I55" s="93" t="s">
        <v>436</v>
      </c>
      <c r="J55" s="93" t="s">
        <v>436</v>
      </c>
      <c r="K55" s="93" t="s">
        <v>436</v>
      </c>
      <c r="L55" s="93" t="s">
        <v>436</v>
      </c>
      <c r="M55" s="93" t="s">
        <v>436</v>
      </c>
      <c r="N55" s="93" t="s">
        <v>436</v>
      </c>
      <c r="O55" s="93" t="s">
        <v>436</v>
      </c>
      <c r="P55" s="93" t="s">
        <v>436</v>
      </c>
      <c r="Q55" s="93" t="s">
        <v>436</v>
      </c>
      <c r="R55" s="93" t="s">
        <v>436</v>
      </c>
      <c r="S55" s="93" t="s">
        <v>436</v>
      </c>
      <c r="T55" s="93" t="s">
        <v>436</v>
      </c>
      <c r="U55" s="93" t="s">
        <v>436</v>
      </c>
      <c r="V55" s="93" t="s">
        <v>436</v>
      </c>
      <c r="W55" s="93" t="s">
        <v>436</v>
      </c>
      <c r="X55" s="93" t="s">
        <v>436</v>
      </c>
      <c r="Y55" s="93" t="s">
        <v>436</v>
      </c>
      <c r="Z55" s="93" t="s">
        <v>436</v>
      </c>
      <c r="AA55" s="93" t="s">
        <v>436</v>
      </c>
      <c r="AB55" s="93" t="s">
        <v>436</v>
      </c>
      <c r="AC55" s="93" t="s">
        <v>436</v>
      </c>
      <c r="AD55" s="93" t="s">
        <v>436</v>
      </c>
      <c r="AE55" s="93" t="s">
        <v>436</v>
      </c>
      <c r="AF55" s="93" t="s">
        <v>436</v>
      </c>
      <c r="AG55" s="93" t="s">
        <v>436</v>
      </c>
      <c r="AH55" s="115" t="s">
        <v>424</v>
      </c>
    </row>
    <row r="56" spans="1:36" ht="15.75" x14ac:dyDescent="0.25">
      <c r="A56" s="240">
        <f t="shared" si="0"/>
        <v>51</v>
      </c>
      <c r="B56" s="108" t="s">
        <v>407</v>
      </c>
      <c r="C56" s="92" t="s">
        <v>408</v>
      </c>
      <c r="D56" s="93" t="s">
        <v>436</v>
      </c>
      <c r="E56" s="93" t="s">
        <v>436</v>
      </c>
      <c r="F56" s="93" t="s">
        <v>436</v>
      </c>
      <c r="G56" s="93" t="s">
        <v>436</v>
      </c>
      <c r="H56" s="93" t="s">
        <v>436</v>
      </c>
      <c r="I56" s="93" t="s">
        <v>436</v>
      </c>
      <c r="J56" s="93" t="s">
        <v>436</v>
      </c>
      <c r="K56" s="93" t="s">
        <v>436</v>
      </c>
      <c r="L56" s="93" t="s">
        <v>436</v>
      </c>
      <c r="M56" s="93" t="s">
        <v>436</v>
      </c>
      <c r="N56" s="93" t="s">
        <v>436</v>
      </c>
      <c r="O56" s="93" t="s">
        <v>436</v>
      </c>
      <c r="P56" s="93" t="s">
        <v>436</v>
      </c>
      <c r="Q56" s="93" t="s">
        <v>436</v>
      </c>
      <c r="R56" s="93" t="s">
        <v>436</v>
      </c>
      <c r="S56" s="93" t="s">
        <v>436</v>
      </c>
      <c r="T56" s="93" t="s">
        <v>436</v>
      </c>
      <c r="U56" s="93" t="s">
        <v>436</v>
      </c>
      <c r="V56" s="93" t="s">
        <v>436</v>
      </c>
      <c r="W56" s="93" t="s">
        <v>436</v>
      </c>
      <c r="X56" s="93" t="s">
        <v>436</v>
      </c>
      <c r="Y56" s="93" t="s">
        <v>436</v>
      </c>
      <c r="Z56" s="93" t="s">
        <v>436</v>
      </c>
      <c r="AA56" s="93" t="s">
        <v>436</v>
      </c>
      <c r="AB56" s="93" t="s">
        <v>436</v>
      </c>
      <c r="AC56" s="93" t="s">
        <v>436</v>
      </c>
      <c r="AD56" s="93" t="s">
        <v>436</v>
      </c>
      <c r="AE56" s="93" t="s">
        <v>436</v>
      </c>
      <c r="AF56" s="93" t="s">
        <v>436</v>
      </c>
      <c r="AG56" s="93" t="s">
        <v>436</v>
      </c>
      <c r="AH56" s="115" t="s">
        <v>424</v>
      </c>
    </row>
    <row r="57" spans="1:36" ht="15.75" x14ac:dyDescent="0.25">
      <c r="A57" s="240">
        <f t="shared" si="0"/>
        <v>52</v>
      </c>
      <c r="B57" s="90" t="s">
        <v>214</v>
      </c>
      <c r="C57" s="91" t="s">
        <v>420</v>
      </c>
      <c r="D57" s="93" t="s">
        <v>436</v>
      </c>
      <c r="E57" s="93" t="s">
        <v>436</v>
      </c>
      <c r="F57" s="93" t="s">
        <v>436</v>
      </c>
      <c r="G57" s="93" t="s">
        <v>436</v>
      </c>
      <c r="H57" s="93" t="s">
        <v>436</v>
      </c>
      <c r="I57" s="93" t="s">
        <v>436</v>
      </c>
      <c r="J57" s="93" t="s">
        <v>436</v>
      </c>
      <c r="K57" s="93" t="s">
        <v>436</v>
      </c>
      <c r="L57" s="93" t="s">
        <v>436</v>
      </c>
      <c r="M57" s="261" t="s">
        <v>426</v>
      </c>
      <c r="N57" s="93" t="s">
        <v>436</v>
      </c>
      <c r="O57" s="93" t="s">
        <v>436</v>
      </c>
      <c r="P57" s="93" t="s">
        <v>436</v>
      </c>
      <c r="Q57" s="93" t="s">
        <v>436</v>
      </c>
      <c r="R57" s="93" t="s">
        <v>436</v>
      </c>
      <c r="S57" s="93" t="s">
        <v>436</v>
      </c>
      <c r="T57" s="93" t="s">
        <v>436</v>
      </c>
      <c r="U57" s="93" t="s">
        <v>436</v>
      </c>
      <c r="V57" s="93" t="s">
        <v>436</v>
      </c>
      <c r="W57" s="93" t="s">
        <v>436</v>
      </c>
      <c r="X57" s="93" t="s">
        <v>436</v>
      </c>
      <c r="Y57" s="93" t="s">
        <v>436</v>
      </c>
      <c r="Z57" s="93" t="s">
        <v>436</v>
      </c>
      <c r="AA57" s="93" t="s">
        <v>436</v>
      </c>
      <c r="AB57" s="93" t="s">
        <v>436</v>
      </c>
      <c r="AC57" s="93" t="s">
        <v>436</v>
      </c>
      <c r="AD57" s="93" t="s">
        <v>436</v>
      </c>
      <c r="AE57" s="93" t="s">
        <v>436</v>
      </c>
      <c r="AF57" s="93" t="s">
        <v>436</v>
      </c>
      <c r="AG57" s="93" t="s">
        <v>436</v>
      </c>
      <c r="AH57" s="115" t="s">
        <v>424</v>
      </c>
    </row>
    <row r="58" spans="1:36" ht="15.75" x14ac:dyDescent="0.25">
      <c r="A58" s="240">
        <f t="shared" si="0"/>
        <v>53</v>
      </c>
      <c r="B58" s="35" t="s">
        <v>254</v>
      </c>
      <c r="C58" s="101" t="s">
        <v>495</v>
      </c>
      <c r="D58" s="93" t="s">
        <v>436</v>
      </c>
      <c r="E58" s="93" t="s">
        <v>436</v>
      </c>
      <c r="F58" s="93" t="s">
        <v>436</v>
      </c>
      <c r="G58" s="93" t="s">
        <v>436</v>
      </c>
      <c r="H58" s="93" t="s">
        <v>436</v>
      </c>
      <c r="I58" s="93" t="s">
        <v>436</v>
      </c>
      <c r="J58" s="93" t="s">
        <v>436</v>
      </c>
      <c r="K58" s="93" t="s">
        <v>436</v>
      </c>
      <c r="L58" s="93" t="s">
        <v>436</v>
      </c>
      <c r="M58" s="93" t="s">
        <v>436</v>
      </c>
      <c r="N58" s="93" t="s">
        <v>436</v>
      </c>
      <c r="O58" s="93" t="s">
        <v>436</v>
      </c>
      <c r="P58" s="93" t="s">
        <v>436</v>
      </c>
      <c r="Q58" s="93" t="s">
        <v>436</v>
      </c>
      <c r="R58" s="93" t="s">
        <v>436</v>
      </c>
      <c r="S58" s="93" t="s">
        <v>436</v>
      </c>
      <c r="T58" s="93" t="s">
        <v>436</v>
      </c>
      <c r="U58" s="93" t="s">
        <v>436</v>
      </c>
      <c r="V58" s="93" t="s">
        <v>436</v>
      </c>
      <c r="W58" s="93" t="s">
        <v>436</v>
      </c>
      <c r="X58" s="93" t="s">
        <v>436</v>
      </c>
      <c r="Y58" s="93" t="s">
        <v>436</v>
      </c>
      <c r="Z58" s="93" t="s">
        <v>436</v>
      </c>
      <c r="AA58" s="93" t="s">
        <v>436</v>
      </c>
      <c r="AB58" s="93" t="s">
        <v>436</v>
      </c>
      <c r="AC58" s="264" t="s">
        <v>529</v>
      </c>
      <c r="AD58" s="93" t="s">
        <v>436</v>
      </c>
      <c r="AE58" s="93" t="s">
        <v>436</v>
      </c>
      <c r="AF58" s="93" t="s">
        <v>436</v>
      </c>
      <c r="AG58" s="93" t="s">
        <v>436</v>
      </c>
      <c r="AH58" s="115" t="s">
        <v>424</v>
      </c>
    </row>
    <row r="59" spans="1:36" ht="15.75" x14ac:dyDescent="0.25">
      <c r="A59" s="240">
        <f t="shared" si="0"/>
        <v>54</v>
      </c>
      <c r="B59" s="75" t="s">
        <v>258</v>
      </c>
      <c r="C59" s="92" t="s">
        <v>499</v>
      </c>
      <c r="D59" s="93" t="s">
        <v>436</v>
      </c>
      <c r="E59" s="93" t="s">
        <v>436</v>
      </c>
      <c r="F59" s="93" t="s">
        <v>436</v>
      </c>
      <c r="G59" s="93" t="s">
        <v>436</v>
      </c>
      <c r="H59" s="93" t="s">
        <v>436</v>
      </c>
      <c r="I59" s="93" t="s">
        <v>436</v>
      </c>
      <c r="J59" s="93" t="s">
        <v>436</v>
      </c>
      <c r="K59" s="93" t="s">
        <v>436</v>
      </c>
      <c r="L59" s="93" t="s">
        <v>436</v>
      </c>
      <c r="M59" s="261" t="s">
        <v>426</v>
      </c>
      <c r="N59" s="93" t="s">
        <v>436</v>
      </c>
      <c r="O59" s="93" t="s">
        <v>436</v>
      </c>
      <c r="P59" s="93" t="s">
        <v>436</v>
      </c>
      <c r="Q59" s="93" t="s">
        <v>436</v>
      </c>
      <c r="R59" s="93" t="s">
        <v>436</v>
      </c>
      <c r="S59" s="93" t="s">
        <v>436</v>
      </c>
      <c r="T59" s="93" t="s">
        <v>436</v>
      </c>
      <c r="U59" s="93" t="s">
        <v>436</v>
      </c>
      <c r="V59" s="93" t="s">
        <v>436</v>
      </c>
      <c r="W59" s="93" t="s">
        <v>436</v>
      </c>
      <c r="X59" s="93" t="s">
        <v>436</v>
      </c>
      <c r="Y59" s="93" t="s">
        <v>436</v>
      </c>
      <c r="Z59" s="93" t="s">
        <v>436</v>
      </c>
      <c r="AA59" s="264" t="s">
        <v>529</v>
      </c>
      <c r="AB59" s="93" t="s">
        <v>436</v>
      </c>
      <c r="AC59" s="93" t="s">
        <v>436</v>
      </c>
      <c r="AD59" s="93" t="s">
        <v>436</v>
      </c>
      <c r="AE59" s="93" t="s">
        <v>436</v>
      </c>
      <c r="AF59" s="93" t="s">
        <v>436</v>
      </c>
      <c r="AG59" s="93" t="s">
        <v>436</v>
      </c>
      <c r="AH59" s="115" t="s">
        <v>424</v>
      </c>
    </row>
    <row r="60" spans="1:36" ht="15.75" x14ac:dyDescent="0.25">
      <c r="A60" s="240">
        <f t="shared" si="0"/>
        <v>55</v>
      </c>
      <c r="B60" s="75" t="s">
        <v>328</v>
      </c>
      <c r="C60" s="92" t="s">
        <v>329</v>
      </c>
      <c r="D60" s="271" t="s">
        <v>442</v>
      </c>
      <c r="E60" s="93" t="s">
        <v>436</v>
      </c>
      <c r="F60" s="93" t="s">
        <v>436</v>
      </c>
      <c r="G60" s="93" t="s">
        <v>436</v>
      </c>
      <c r="H60" s="261" t="s">
        <v>426</v>
      </c>
      <c r="I60" s="93" t="s">
        <v>436</v>
      </c>
      <c r="J60" s="93" t="s">
        <v>436</v>
      </c>
      <c r="K60" s="93" t="s">
        <v>436</v>
      </c>
      <c r="L60" s="93" t="s">
        <v>436</v>
      </c>
      <c r="M60" s="93" t="s">
        <v>436</v>
      </c>
      <c r="N60" s="93" t="s">
        <v>436</v>
      </c>
      <c r="O60" s="93" t="s">
        <v>436</v>
      </c>
      <c r="P60" s="93" t="s">
        <v>436</v>
      </c>
      <c r="Q60" s="93" t="s">
        <v>436</v>
      </c>
      <c r="R60" s="93" t="s">
        <v>436</v>
      </c>
      <c r="S60" s="93" t="s">
        <v>436</v>
      </c>
      <c r="T60" s="93" t="s">
        <v>436</v>
      </c>
      <c r="U60" s="93" t="s">
        <v>436</v>
      </c>
      <c r="V60" s="93" t="s">
        <v>436</v>
      </c>
      <c r="W60" s="93" t="s">
        <v>436</v>
      </c>
      <c r="X60" s="93" t="s">
        <v>436</v>
      </c>
      <c r="Y60" s="93" t="s">
        <v>436</v>
      </c>
      <c r="Z60" s="93" t="s">
        <v>436</v>
      </c>
      <c r="AA60" s="93" t="s">
        <v>436</v>
      </c>
      <c r="AB60" s="93" t="s">
        <v>436</v>
      </c>
      <c r="AC60" s="93" t="s">
        <v>436</v>
      </c>
      <c r="AD60" s="93" t="s">
        <v>436</v>
      </c>
      <c r="AE60" s="93" t="s">
        <v>436</v>
      </c>
      <c r="AF60" s="93" t="s">
        <v>436</v>
      </c>
      <c r="AG60" s="93" t="s">
        <v>436</v>
      </c>
      <c r="AH60" s="115" t="s">
        <v>424</v>
      </c>
    </row>
    <row r="61" spans="1:36" ht="15.75" x14ac:dyDescent="0.25">
      <c r="A61" s="240">
        <f t="shared" si="0"/>
        <v>56</v>
      </c>
      <c r="B61" s="274" t="s">
        <v>350</v>
      </c>
      <c r="C61" s="91" t="s">
        <v>351</v>
      </c>
      <c r="D61" s="275" t="s">
        <v>442</v>
      </c>
      <c r="E61" s="93" t="s">
        <v>436</v>
      </c>
      <c r="F61" s="93" t="s">
        <v>436</v>
      </c>
      <c r="G61" s="93" t="s">
        <v>436</v>
      </c>
      <c r="H61" s="93" t="s">
        <v>436</v>
      </c>
      <c r="I61" s="93" t="s">
        <v>436</v>
      </c>
      <c r="J61" s="93" t="s">
        <v>436</v>
      </c>
      <c r="K61" s="93" t="s">
        <v>436</v>
      </c>
      <c r="L61" s="93" t="s">
        <v>436</v>
      </c>
      <c r="M61" s="93" t="s">
        <v>436</v>
      </c>
      <c r="N61" s="93" t="s">
        <v>436</v>
      </c>
      <c r="O61" s="93" t="s">
        <v>436</v>
      </c>
      <c r="P61" s="93" t="s">
        <v>436</v>
      </c>
      <c r="Q61" s="93" t="s">
        <v>436</v>
      </c>
      <c r="R61" s="93" t="s">
        <v>436</v>
      </c>
      <c r="S61" s="93" t="s">
        <v>436</v>
      </c>
      <c r="T61" s="93" t="s">
        <v>436</v>
      </c>
      <c r="U61" s="93" t="s">
        <v>436</v>
      </c>
      <c r="V61" s="93" t="s">
        <v>436</v>
      </c>
      <c r="W61" s="93" t="s">
        <v>436</v>
      </c>
      <c r="X61" s="93" t="s">
        <v>436</v>
      </c>
      <c r="Y61" s="93" t="s">
        <v>436</v>
      </c>
      <c r="Z61" s="93" t="s">
        <v>436</v>
      </c>
      <c r="AA61" s="252" t="s">
        <v>426</v>
      </c>
      <c r="AB61" s="93" t="s">
        <v>436</v>
      </c>
      <c r="AC61" s="93" t="s">
        <v>436</v>
      </c>
      <c r="AD61" s="93" t="s">
        <v>436</v>
      </c>
      <c r="AE61" s="93" t="s">
        <v>436</v>
      </c>
      <c r="AF61" s="93" t="s">
        <v>436</v>
      </c>
      <c r="AG61" s="93" t="s">
        <v>436</v>
      </c>
      <c r="AH61" s="115" t="s">
        <v>424</v>
      </c>
    </row>
    <row r="62" spans="1:36" ht="15.75" x14ac:dyDescent="0.25">
      <c r="A62" s="240">
        <f t="shared" si="0"/>
        <v>57</v>
      </c>
      <c r="B62" s="102" t="s">
        <v>517</v>
      </c>
      <c r="C62" s="92" t="s">
        <v>518</v>
      </c>
      <c r="D62" s="93" t="s">
        <v>436</v>
      </c>
      <c r="E62" s="93" t="s">
        <v>436</v>
      </c>
      <c r="F62" s="93" t="s">
        <v>436</v>
      </c>
      <c r="G62" s="261" t="s">
        <v>426</v>
      </c>
      <c r="H62" s="93" t="s">
        <v>436</v>
      </c>
      <c r="I62" s="93" t="s">
        <v>436</v>
      </c>
      <c r="J62" s="93" t="s">
        <v>436</v>
      </c>
      <c r="K62" s="93" t="s">
        <v>436</v>
      </c>
      <c r="L62" s="93" t="s">
        <v>436</v>
      </c>
      <c r="M62" s="93" t="s">
        <v>436</v>
      </c>
      <c r="N62" s="93" t="s">
        <v>436</v>
      </c>
      <c r="O62" s="93" t="s">
        <v>436</v>
      </c>
      <c r="P62" s="93" t="s">
        <v>436</v>
      </c>
      <c r="Q62" s="93" t="s">
        <v>436</v>
      </c>
      <c r="R62" s="93" t="s">
        <v>436</v>
      </c>
      <c r="S62" s="93" t="s">
        <v>436</v>
      </c>
      <c r="T62" s="93" t="s">
        <v>436</v>
      </c>
      <c r="U62" s="93" t="s">
        <v>436</v>
      </c>
      <c r="V62" s="93" t="s">
        <v>436</v>
      </c>
      <c r="W62" s="93" t="s">
        <v>436</v>
      </c>
      <c r="X62" s="93" t="s">
        <v>436</v>
      </c>
      <c r="Y62" s="93" t="s">
        <v>436</v>
      </c>
      <c r="Z62" s="93" t="s">
        <v>436</v>
      </c>
      <c r="AA62" s="93" t="s">
        <v>436</v>
      </c>
      <c r="AB62" s="93" t="s">
        <v>436</v>
      </c>
      <c r="AC62" s="93" t="s">
        <v>436</v>
      </c>
      <c r="AD62" s="93" t="s">
        <v>436</v>
      </c>
      <c r="AE62" s="93" t="s">
        <v>436</v>
      </c>
      <c r="AF62" s="93" t="s">
        <v>436</v>
      </c>
      <c r="AG62" s="93" t="s">
        <v>436</v>
      </c>
      <c r="AH62" s="115" t="s">
        <v>424</v>
      </c>
      <c r="AI62" s="73"/>
      <c r="AJ62" s="73"/>
    </row>
    <row r="63" spans="1:36" s="73" customFormat="1" ht="15.75" x14ac:dyDescent="0.25">
      <c r="A63" s="240">
        <f t="shared" si="0"/>
        <v>58</v>
      </c>
      <c r="B63" s="109">
        <v>75</v>
      </c>
      <c r="C63" s="276" t="s">
        <v>435</v>
      </c>
      <c r="D63" s="277" t="s">
        <v>436</v>
      </c>
      <c r="E63" s="277" t="s">
        <v>436</v>
      </c>
      <c r="F63" s="277" t="s">
        <v>436</v>
      </c>
      <c r="G63" s="277" t="s">
        <v>436</v>
      </c>
      <c r="H63" s="277" t="s">
        <v>436</v>
      </c>
      <c r="I63" s="277" t="s">
        <v>436</v>
      </c>
      <c r="J63" s="277" t="s">
        <v>436</v>
      </c>
      <c r="K63" s="277" t="s">
        <v>436</v>
      </c>
      <c r="L63" s="277" t="s">
        <v>436</v>
      </c>
      <c r="M63" s="277" t="s">
        <v>436</v>
      </c>
      <c r="N63" s="277" t="s">
        <v>436</v>
      </c>
      <c r="O63" s="277" t="s">
        <v>436</v>
      </c>
      <c r="P63" s="277" t="s">
        <v>436</v>
      </c>
      <c r="Q63" s="277" t="s">
        <v>436</v>
      </c>
      <c r="R63" s="277" t="s">
        <v>436</v>
      </c>
      <c r="S63" s="277" t="s">
        <v>436</v>
      </c>
      <c r="T63" s="277" t="s">
        <v>436</v>
      </c>
      <c r="U63" s="277" t="s">
        <v>436</v>
      </c>
      <c r="V63" s="277" t="s">
        <v>436</v>
      </c>
      <c r="W63" s="277" t="s">
        <v>436</v>
      </c>
      <c r="X63" s="277" t="s">
        <v>436</v>
      </c>
      <c r="Y63" s="277" t="s">
        <v>436</v>
      </c>
      <c r="Z63" s="277" t="s">
        <v>436</v>
      </c>
      <c r="AA63" s="277" t="s">
        <v>436</v>
      </c>
      <c r="AB63" s="277" t="s">
        <v>436</v>
      </c>
      <c r="AC63" s="277" t="s">
        <v>436</v>
      </c>
      <c r="AD63" s="277" t="s">
        <v>436</v>
      </c>
      <c r="AE63" s="277" t="s">
        <v>436</v>
      </c>
      <c r="AF63" s="277" t="s">
        <v>436</v>
      </c>
      <c r="AG63" s="277" t="s">
        <v>436</v>
      </c>
      <c r="AH63" s="115" t="s">
        <v>598</v>
      </c>
    </row>
    <row r="64" spans="1:36" s="73" customFormat="1" ht="15.75" x14ac:dyDescent="0.25">
      <c r="A64" s="240">
        <f t="shared" si="0"/>
        <v>59</v>
      </c>
      <c r="B64" s="90">
        <v>182</v>
      </c>
      <c r="C64" s="81" t="s">
        <v>451</v>
      </c>
      <c r="D64" s="277" t="s">
        <v>436</v>
      </c>
      <c r="E64" s="277" t="s">
        <v>436</v>
      </c>
      <c r="F64" s="252" t="s">
        <v>426</v>
      </c>
      <c r="G64" s="278" t="s">
        <v>436</v>
      </c>
      <c r="H64" s="277" t="s">
        <v>436</v>
      </c>
      <c r="I64" s="277" t="s">
        <v>436</v>
      </c>
      <c r="J64" s="277" t="s">
        <v>436</v>
      </c>
      <c r="K64" s="277" t="s">
        <v>436</v>
      </c>
      <c r="L64" s="277" t="s">
        <v>436</v>
      </c>
      <c r="M64" s="277" t="s">
        <v>436</v>
      </c>
      <c r="N64" s="277" t="s">
        <v>436</v>
      </c>
      <c r="O64" s="277" t="s">
        <v>436</v>
      </c>
      <c r="P64" s="277" t="s">
        <v>436</v>
      </c>
      <c r="Q64" s="277" t="s">
        <v>436</v>
      </c>
      <c r="R64" s="277" t="s">
        <v>436</v>
      </c>
      <c r="S64" s="277" t="s">
        <v>436</v>
      </c>
      <c r="T64" s="277" t="s">
        <v>436</v>
      </c>
      <c r="U64" s="277" t="s">
        <v>436</v>
      </c>
      <c r="V64" s="277" t="s">
        <v>436</v>
      </c>
      <c r="W64" s="277" t="s">
        <v>436</v>
      </c>
      <c r="X64" s="277" t="s">
        <v>436</v>
      </c>
      <c r="Y64" s="277" t="s">
        <v>436</v>
      </c>
      <c r="Z64" s="277" t="s">
        <v>436</v>
      </c>
      <c r="AA64" s="277" t="s">
        <v>436</v>
      </c>
      <c r="AB64" s="277" t="s">
        <v>436</v>
      </c>
      <c r="AC64" s="277" t="s">
        <v>436</v>
      </c>
      <c r="AD64" s="277" t="s">
        <v>436</v>
      </c>
      <c r="AE64" s="277" t="s">
        <v>436</v>
      </c>
      <c r="AF64" s="277" t="s">
        <v>436</v>
      </c>
      <c r="AG64" s="277" t="s">
        <v>436</v>
      </c>
      <c r="AH64" s="115" t="s">
        <v>598</v>
      </c>
      <c r="AI64"/>
      <c r="AJ64"/>
    </row>
    <row r="65" spans="1:36" s="73" customFormat="1" ht="15.75" x14ac:dyDescent="0.25">
      <c r="A65" s="240">
        <f t="shared" si="0"/>
        <v>60</v>
      </c>
      <c r="B65" s="109">
        <v>669</v>
      </c>
      <c r="C65" s="279" t="s">
        <v>421</v>
      </c>
      <c r="D65" s="277" t="s">
        <v>436</v>
      </c>
      <c r="E65" s="277" t="s">
        <v>436</v>
      </c>
      <c r="F65" s="277" t="s">
        <v>436</v>
      </c>
      <c r="G65" s="277" t="s">
        <v>436</v>
      </c>
      <c r="H65" s="277" t="s">
        <v>436</v>
      </c>
      <c r="I65" s="277" t="s">
        <v>436</v>
      </c>
      <c r="J65" s="277" t="s">
        <v>436</v>
      </c>
      <c r="K65" s="277" t="s">
        <v>436</v>
      </c>
      <c r="L65" s="277" t="s">
        <v>436</v>
      </c>
      <c r="M65" s="280" t="s">
        <v>442</v>
      </c>
      <c r="N65" s="280" t="s">
        <v>456</v>
      </c>
      <c r="O65" s="280" t="s">
        <v>456</v>
      </c>
      <c r="P65" s="280" t="s">
        <v>456</v>
      </c>
      <c r="Q65" s="280" t="s">
        <v>456</v>
      </c>
      <c r="R65" s="280" t="s">
        <v>456</v>
      </c>
      <c r="S65" s="280" t="s">
        <v>456</v>
      </c>
      <c r="T65" s="280" t="s">
        <v>456</v>
      </c>
      <c r="U65" s="280" t="s">
        <v>456</v>
      </c>
      <c r="V65" s="280" t="s">
        <v>456</v>
      </c>
      <c r="W65" s="280" t="s">
        <v>456</v>
      </c>
      <c r="X65" s="280" t="s">
        <v>456</v>
      </c>
      <c r="Y65" s="280" t="s">
        <v>456</v>
      </c>
      <c r="Z65" s="280" t="s">
        <v>456</v>
      </c>
      <c r="AA65" s="280" t="s">
        <v>456</v>
      </c>
      <c r="AB65" s="280" t="s">
        <v>456</v>
      </c>
      <c r="AC65" s="280" t="s">
        <v>456</v>
      </c>
      <c r="AD65" s="280" t="s">
        <v>456</v>
      </c>
      <c r="AE65" s="280" t="s">
        <v>456</v>
      </c>
      <c r="AF65" s="280" t="s">
        <v>456</v>
      </c>
      <c r="AG65" s="280" t="s">
        <v>456</v>
      </c>
      <c r="AH65" s="115" t="s">
        <v>598</v>
      </c>
      <c r="AI65"/>
      <c r="AJ65"/>
    </row>
    <row r="66" spans="1:36" ht="15.75" x14ac:dyDescent="0.25">
      <c r="A66" s="240">
        <f t="shared" si="0"/>
        <v>61</v>
      </c>
      <c r="B66" s="35">
        <v>963</v>
      </c>
      <c r="C66" s="81" t="s">
        <v>444</v>
      </c>
      <c r="D66" s="277" t="s">
        <v>436</v>
      </c>
      <c r="E66" s="277" t="s">
        <v>436</v>
      </c>
      <c r="F66" s="277" t="s">
        <v>436</v>
      </c>
      <c r="G66" s="277" t="s">
        <v>436</v>
      </c>
      <c r="H66" s="277" t="s">
        <v>436</v>
      </c>
      <c r="I66" s="277" t="s">
        <v>436</v>
      </c>
      <c r="J66" s="277" t="s">
        <v>436</v>
      </c>
      <c r="K66" s="277" t="s">
        <v>436</v>
      </c>
      <c r="L66" s="277" t="s">
        <v>436</v>
      </c>
      <c r="M66" s="277" t="s">
        <v>436</v>
      </c>
      <c r="N66" s="277" t="s">
        <v>436</v>
      </c>
      <c r="O66" s="277" t="s">
        <v>436</v>
      </c>
      <c r="P66" s="277" t="s">
        <v>436</v>
      </c>
      <c r="Q66" s="277" t="s">
        <v>436</v>
      </c>
      <c r="R66" s="277" t="s">
        <v>436</v>
      </c>
      <c r="S66" s="277" t="s">
        <v>436</v>
      </c>
      <c r="T66" s="277" t="s">
        <v>436</v>
      </c>
      <c r="U66" s="277" t="s">
        <v>436</v>
      </c>
      <c r="V66" s="277" t="s">
        <v>436</v>
      </c>
      <c r="W66" s="277" t="s">
        <v>436</v>
      </c>
      <c r="X66" s="277" t="s">
        <v>436</v>
      </c>
      <c r="Y66" s="277" t="s">
        <v>436</v>
      </c>
      <c r="Z66" s="277" t="s">
        <v>436</v>
      </c>
      <c r="AA66" s="277" t="s">
        <v>436</v>
      </c>
      <c r="AB66" s="277" t="s">
        <v>436</v>
      </c>
      <c r="AC66" s="277" t="s">
        <v>436</v>
      </c>
      <c r="AD66" s="277" t="s">
        <v>436</v>
      </c>
      <c r="AE66" s="277" t="s">
        <v>436</v>
      </c>
      <c r="AF66" s="277" t="s">
        <v>436</v>
      </c>
      <c r="AG66" s="277" t="s">
        <v>436</v>
      </c>
      <c r="AH66" s="115" t="s">
        <v>598</v>
      </c>
      <c r="AI66" s="260"/>
      <c r="AJ66" s="260"/>
    </row>
    <row r="67" spans="1:36" ht="15.75" x14ac:dyDescent="0.25">
      <c r="A67" s="240">
        <f t="shared" si="0"/>
        <v>62</v>
      </c>
      <c r="B67" s="35" t="s">
        <v>362</v>
      </c>
      <c r="C67" s="81" t="s">
        <v>493</v>
      </c>
      <c r="D67" s="277" t="s">
        <v>436</v>
      </c>
      <c r="E67" s="277" t="s">
        <v>436</v>
      </c>
      <c r="F67" s="277" t="s">
        <v>436</v>
      </c>
      <c r="G67" s="277" t="s">
        <v>436</v>
      </c>
      <c r="H67" s="277" t="s">
        <v>436</v>
      </c>
      <c r="I67" s="277" t="s">
        <v>436</v>
      </c>
      <c r="J67" s="277" t="s">
        <v>436</v>
      </c>
      <c r="K67" s="280" t="s">
        <v>442</v>
      </c>
      <c r="L67" s="277" t="s">
        <v>436</v>
      </c>
      <c r="M67" s="277" t="s">
        <v>436</v>
      </c>
      <c r="N67" s="277" t="s">
        <v>436</v>
      </c>
      <c r="O67" s="277" t="s">
        <v>436</v>
      </c>
      <c r="P67" s="277" t="s">
        <v>436</v>
      </c>
      <c r="Q67" s="277" t="s">
        <v>436</v>
      </c>
      <c r="R67" s="277" t="s">
        <v>436</v>
      </c>
      <c r="S67" s="277" t="s">
        <v>436</v>
      </c>
      <c r="T67" s="252" t="s">
        <v>426</v>
      </c>
      <c r="U67" s="277" t="s">
        <v>436</v>
      </c>
      <c r="V67" s="277" t="s">
        <v>436</v>
      </c>
      <c r="W67" s="277" t="s">
        <v>436</v>
      </c>
      <c r="X67" s="277" t="s">
        <v>436</v>
      </c>
      <c r="Y67" s="277" t="s">
        <v>436</v>
      </c>
      <c r="Z67" s="277" t="s">
        <v>436</v>
      </c>
      <c r="AA67" s="277" t="s">
        <v>436</v>
      </c>
      <c r="AB67" s="277" t="s">
        <v>436</v>
      </c>
      <c r="AC67" s="277" t="s">
        <v>436</v>
      </c>
      <c r="AD67" s="277" t="s">
        <v>436</v>
      </c>
      <c r="AE67" s="277" t="s">
        <v>436</v>
      </c>
      <c r="AF67" s="277" t="s">
        <v>436</v>
      </c>
      <c r="AG67" s="258" t="s">
        <v>442</v>
      </c>
      <c r="AH67" s="115" t="s">
        <v>598</v>
      </c>
      <c r="AI67" s="73"/>
      <c r="AJ67" s="73"/>
    </row>
    <row r="68" spans="1:36" ht="15.75" x14ac:dyDescent="0.25">
      <c r="A68" s="240">
        <f t="shared" si="0"/>
        <v>63</v>
      </c>
      <c r="B68" s="35" t="s">
        <v>374</v>
      </c>
      <c r="C68" s="276" t="s">
        <v>457</v>
      </c>
      <c r="D68" s="277" t="s">
        <v>436</v>
      </c>
      <c r="E68" s="277" t="s">
        <v>436</v>
      </c>
      <c r="F68" s="277" t="s">
        <v>436</v>
      </c>
      <c r="G68" s="277" t="s">
        <v>436</v>
      </c>
      <c r="H68" s="277" t="s">
        <v>436</v>
      </c>
      <c r="I68" s="277" t="s">
        <v>436</v>
      </c>
      <c r="J68" s="277" t="s">
        <v>436</v>
      </c>
      <c r="K68" s="277" t="s">
        <v>436</v>
      </c>
      <c r="L68" s="277" t="s">
        <v>436</v>
      </c>
      <c r="M68" s="277" t="s">
        <v>436</v>
      </c>
      <c r="N68" s="277" t="s">
        <v>436</v>
      </c>
      <c r="O68" s="277" t="s">
        <v>436</v>
      </c>
      <c r="P68" s="277" t="s">
        <v>436</v>
      </c>
      <c r="Q68" s="277" t="s">
        <v>436</v>
      </c>
      <c r="R68" s="277" t="s">
        <v>436</v>
      </c>
      <c r="S68" s="277" t="s">
        <v>436</v>
      </c>
      <c r="T68" s="277" t="s">
        <v>436</v>
      </c>
      <c r="U68" s="277" t="s">
        <v>436</v>
      </c>
      <c r="V68" s="277" t="s">
        <v>436</v>
      </c>
      <c r="W68" s="277" t="s">
        <v>436</v>
      </c>
      <c r="X68" s="277" t="s">
        <v>436</v>
      </c>
      <c r="Y68" s="277" t="s">
        <v>436</v>
      </c>
      <c r="Z68" s="277" t="s">
        <v>436</v>
      </c>
      <c r="AA68" s="277" t="s">
        <v>436</v>
      </c>
      <c r="AB68" s="277" t="s">
        <v>436</v>
      </c>
      <c r="AC68" s="277" t="s">
        <v>436</v>
      </c>
      <c r="AD68" s="277" t="s">
        <v>436</v>
      </c>
      <c r="AE68" s="277" t="s">
        <v>436</v>
      </c>
      <c r="AF68" s="277" t="s">
        <v>436</v>
      </c>
      <c r="AG68" s="277" t="s">
        <v>436</v>
      </c>
      <c r="AH68" s="115" t="s">
        <v>598</v>
      </c>
      <c r="AI68" s="260"/>
      <c r="AJ68" s="260"/>
    </row>
    <row r="69" spans="1:36" ht="15.75" x14ac:dyDescent="0.25">
      <c r="A69" s="240">
        <f t="shared" si="0"/>
        <v>64</v>
      </c>
      <c r="B69" s="35" t="s">
        <v>238</v>
      </c>
      <c r="C69" s="276" t="s">
        <v>239</v>
      </c>
      <c r="D69" s="277" t="s">
        <v>436</v>
      </c>
      <c r="E69" s="277" t="s">
        <v>436</v>
      </c>
      <c r="F69" s="277" t="s">
        <v>436</v>
      </c>
      <c r="G69" s="277" t="s">
        <v>436</v>
      </c>
      <c r="H69" s="277" t="s">
        <v>436</v>
      </c>
      <c r="I69" s="277" t="s">
        <v>436</v>
      </c>
      <c r="J69" s="277" t="s">
        <v>436</v>
      </c>
      <c r="K69" s="277" t="s">
        <v>436</v>
      </c>
      <c r="L69" s="277" t="s">
        <v>436</v>
      </c>
      <c r="M69" s="277" t="s">
        <v>436</v>
      </c>
      <c r="N69" s="277" t="s">
        <v>436</v>
      </c>
      <c r="O69" s="277" t="s">
        <v>436</v>
      </c>
      <c r="P69" s="277" t="s">
        <v>436</v>
      </c>
      <c r="Q69" s="277" t="s">
        <v>436</v>
      </c>
      <c r="R69" s="277" t="s">
        <v>436</v>
      </c>
      <c r="S69" s="277" t="s">
        <v>436</v>
      </c>
      <c r="T69" s="277" t="s">
        <v>436</v>
      </c>
      <c r="U69" s="277" t="s">
        <v>436</v>
      </c>
      <c r="V69" s="277" t="s">
        <v>436</v>
      </c>
      <c r="W69" s="277" t="s">
        <v>436</v>
      </c>
      <c r="X69" s="277" t="s">
        <v>436</v>
      </c>
      <c r="Y69" s="277" t="s">
        <v>436</v>
      </c>
      <c r="Z69" s="277" t="s">
        <v>436</v>
      </c>
      <c r="AA69" s="277" t="s">
        <v>436</v>
      </c>
      <c r="AB69" s="277" t="s">
        <v>436</v>
      </c>
      <c r="AC69" s="277" t="s">
        <v>436</v>
      </c>
      <c r="AD69" s="277" t="s">
        <v>436</v>
      </c>
      <c r="AE69" s="277" t="s">
        <v>436</v>
      </c>
      <c r="AF69" s="277" t="s">
        <v>436</v>
      </c>
      <c r="AG69" s="277" t="s">
        <v>436</v>
      </c>
      <c r="AH69" s="115" t="s">
        <v>598</v>
      </c>
    </row>
    <row r="70" spans="1:36" ht="15.75" x14ac:dyDescent="0.25">
      <c r="A70" s="240">
        <f t="shared" si="0"/>
        <v>65</v>
      </c>
      <c r="B70" s="119" t="s">
        <v>544</v>
      </c>
      <c r="C70" s="116" t="s">
        <v>545</v>
      </c>
      <c r="D70" s="277" t="s">
        <v>436</v>
      </c>
      <c r="E70" s="277" t="s">
        <v>436</v>
      </c>
      <c r="F70" s="277" t="s">
        <v>436</v>
      </c>
      <c r="G70" s="277" t="s">
        <v>436</v>
      </c>
      <c r="H70" s="277" t="s">
        <v>436</v>
      </c>
      <c r="I70" s="277" t="s">
        <v>436</v>
      </c>
      <c r="J70" s="277" t="s">
        <v>436</v>
      </c>
      <c r="K70" s="277" t="s">
        <v>436</v>
      </c>
      <c r="L70" s="277" t="s">
        <v>436</v>
      </c>
      <c r="M70" s="277" t="s">
        <v>436</v>
      </c>
      <c r="N70" s="277" t="s">
        <v>436</v>
      </c>
      <c r="O70" s="277" t="s">
        <v>436</v>
      </c>
      <c r="P70" s="277" t="s">
        <v>436</v>
      </c>
      <c r="Q70" s="277" t="s">
        <v>436</v>
      </c>
      <c r="R70" s="277" t="s">
        <v>436</v>
      </c>
      <c r="S70" s="277" t="s">
        <v>436</v>
      </c>
      <c r="T70" s="277" t="s">
        <v>436</v>
      </c>
      <c r="U70" s="277" t="s">
        <v>436</v>
      </c>
      <c r="V70" s="277" t="s">
        <v>436</v>
      </c>
      <c r="W70" s="277" t="s">
        <v>436</v>
      </c>
      <c r="X70" s="277" t="s">
        <v>436</v>
      </c>
      <c r="Y70" s="277" t="s">
        <v>436</v>
      </c>
      <c r="Z70" s="277" t="s">
        <v>436</v>
      </c>
      <c r="AA70" s="277" t="s">
        <v>436</v>
      </c>
      <c r="AB70" s="277" t="s">
        <v>436</v>
      </c>
      <c r="AC70" s="277" t="s">
        <v>436</v>
      </c>
      <c r="AD70" s="277" t="s">
        <v>436</v>
      </c>
      <c r="AE70" s="277" t="s">
        <v>436</v>
      </c>
      <c r="AF70" s="277" t="s">
        <v>436</v>
      </c>
      <c r="AG70" s="277" t="s">
        <v>436</v>
      </c>
      <c r="AH70" s="115" t="s">
        <v>598</v>
      </c>
    </row>
    <row r="71" spans="1:36" ht="15.75" x14ac:dyDescent="0.25">
      <c r="A71" s="240">
        <f t="shared" si="0"/>
        <v>66</v>
      </c>
      <c r="B71" s="281" t="s">
        <v>548</v>
      </c>
      <c r="C71" s="282" t="s">
        <v>549</v>
      </c>
      <c r="D71" s="277" t="s">
        <v>436</v>
      </c>
      <c r="E71" s="258" t="s">
        <v>442</v>
      </c>
      <c r="F71" s="277" t="s">
        <v>436</v>
      </c>
      <c r="G71" s="277" t="s">
        <v>436</v>
      </c>
      <c r="H71" s="277" t="s">
        <v>436</v>
      </c>
      <c r="I71" s="277" t="s">
        <v>436</v>
      </c>
      <c r="J71" s="277" t="s">
        <v>436</v>
      </c>
      <c r="K71" s="277" t="s">
        <v>436</v>
      </c>
      <c r="L71" s="277" t="s">
        <v>436</v>
      </c>
      <c r="M71" s="277" t="s">
        <v>436</v>
      </c>
      <c r="N71" s="277" t="s">
        <v>436</v>
      </c>
      <c r="O71" s="277" t="s">
        <v>436</v>
      </c>
      <c r="P71" s="277" t="s">
        <v>436</v>
      </c>
      <c r="Q71" s="277" t="s">
        <v>436</v>
      </c>
      <c r="R71" s="277" t="s">
        <v>436</v>
      </c>
      <c r="S71" s="277" t="s">
        <v>436</v>
      </c>
      <c r="T71" s="277" t="s">
        <v>436</v>
      </c>
      <c r="U71" s="277" t="s">
        <v>436</v>
      </c>
      <c r="V71" s="277" t="s">
        <v>436</v>
      </c>
      <c r="W71" s="277" t="s">
        <v>436</v>
      </c>
      <c r="X71" s="277" t="s">
        <v>436</v>
      </c>
      <c r="Y71" s="277" t="s">
        <v>436</v>
      </c>
      <c r="Z71" s="277" t="s">
        <v>436</v>
      </c>
      <c r="AA71" s="277" t="s">
        <v>436</v>
      </c>
      <c r="AB71" s="277" t="s">
        <v>436</v>
      </c>
      <c r="AC71" s="277" t="s">
        <v>436</v>
      </c>
      <c r="AD71" s="277" t="s">
        <v>436</v>
      </c>
      <c r="AE71" s="277" t="s">
        <v>436</v>
      </c>
      <c r="AF71" s="277" t="s">
        <v>436</v>
      </c>
      <c r="AG71" s="277" t="s">
        <v>436</v>
      </c>
      <c r="AH71" s="115" t="s">
        <v>598</v>
      </c>
    </row>
    <row r="72" spans="1:36" ht="15.75" x14ac:dyDescent="0.25">
      <c r="A72" s="233">
        <f t="shared" si="0"/>
        <v>67</v>
      </c>
      <c r="B72" s="35" t="s">
        <v>226</v>
      </c>
      <c r="C72" s="81" t="s">
        <v>480</v>
      </c>
      <c r="D72" s="283" t="s">
        <v>442</v>
      </c>
      <c r="E72" s="277" t="s">
        <v>436</v>
      </c>
      <c r="F72" s="277" t="s">
        <v>436</v>
      </c>
      <c r="G72" s="277" t="s">
        <v>436</v>
      </c>
      <c r="H72" s="277" t="s">
        <v>436</v>
      </c>
      <c r="I72" s="277" t="s">
        <v>436</v>
      </c>
      <c r="J72" s="277" t="s">
        <v>436</v>
      </c>
      <c r="K72" s="277" t="s">
        <v>436</v>
      </c>
      <c r="L72" s="277" t="s">
        <v>436</v>
      </c>
      <c r="M72" s="277" t="s">
        <v>436</v>
      </c>
      <c r="N72" s="277" t="s">
        <v>436</v>
      </c>
      <c r="O72" s="277" t="s">
        <v>436</v>
      </c>
      <c r="P72" s="277" t="s">
        <v>436</v>
      </c>
      <c r="Q72" s="277" t="s">
        <v>436</v>
      </c>
      <c r="R72" s="277" t="s">
        <v>436</v>
      </c>
      <c r="S72" s="278" t="s">
        <v>436</v>
      </c>
      <c r="T72" s="277" t="s">
        <v>436</v>
      </c>
      <c r="U72" s="277" t="s">
        <v>436</v>
      </c>
      <c r="V72" s="277" t="s">
        <v>436</v>
      </c>
      <c r="W72" s="277" t="s">
        <v>436</v>
      </c>
      <c r="X72" s="277" t="s">
        <v>436</v>
      </c>
      <c r="Y72" s="277" t="s">
        <v>436</v>
      </c>
      <c r="Z72" s="277" t="s">
        <v>436</v>
      </c>
      <c r="AA72" s="252" t="s">
        <v>426</v>
      </c>
      <c r="AB72" s="277" t="s">
        <v>436</v>
      </c>
      <c r="AC72" s="277" t="s">
        <v>436</v>
      </c>
      <c r="AD72" s="277" t="s">
        <v>436</v>
      </c>
      <c r="AE72" s="277" t="s">
        <v>436</v>
      </c>
      <c r="AF72" s="277" t="s">
        <v>436</v>
      </c>
      <c r="AG72" s="277" t="s">
        <v>436</v>
      </c>
      <c r="AH72" s="115" t="s">
        <v>598</v>
      </c>
      <c r="AI72" s="73"/>
      <c r="AJ72" s="73"/>
    </row>
    <row r="73" spans="1:36" ht="15.75" x14ac:dyDescent="0.25">
      <c r="A73" s="240">
        <f t="shared" si="0"/>
        <v>68</v>
      </c>
      <c r="B73" s="90" t="s">
        <v>268</v>
      </c>
      <c r="C73" s="81" t="s">
        <v>482</v>
      </c>
      <c r="D73" s="277" t="s">
        <v>436</v>
      </c>
      <c r="E73" s="277" t="s">
        <v>436</v>
      </c>
      <c r="F73" s="277" t="s">
        <v>436</v>
      </c>
      <c r="G73" s="277" t="s">
        <v>436</v>
      </c>
      <c r="H73" s="277" t="s">
        <v>436</v>
      </c>
      <c r="I73" s="277" t="s">
        <v>436</v>
      </c>
      <c r="J73" s="277" t="s">
        <v>436</v>
      </c>
      <c r="K73" s="277" t="s">
        <v>436</v>
      </c>
      <c r="L73" s="277" t="s">
        <v>436</v>
      </c>
      <c r="M73" s="277" t="s">
        <v>436</v>
      </c>
      <c r="N73" s="277" t="s">
        <v>436</v>
      </c>
      <c r="O73" s="277" t="s">
        <v>436</v>
      </c>
      <c r="P73" s="277" t="s">
        <v>436</v>
      </c>
      <c r="Q73" s="277" t="s">
        <v>436</v>
      </c>
      <c r="R73" s="277" t="s">
        <v>436</v>
      </c>
      <c r="S73" s="277" t="s">
        <v>436</v>
      </c>
      <c r="T73" s="277" t="s">
        <v>436</v>
      </c>
      <c r="U73" s="277" t="s">
        <v>436</v>
      </c>
      <c r="V73" s="277" t="s">
        <v>436</v>
      </c>
      <c r="W73" s="277" t="s">
        <v>436</v>
      </c>
      <c r="X73" s="277" t="s">
        <v>436</v>
      </c>
      <c r="Y73" s="277" t="s">
        <v>436</v>
      </c>
      <c r="Z73" s="277" t="s">
        <v>436</v>
      </c>
      <c r="AA73" s="277" t="s">
        <v>436</v>
      </c>
      <c r="AB73" s="277" t="s">
        <v>436</v>
      </c>
      <c r="AC73" s="277" t="s">
        <v>436</v>
      </c>
      <c r="AD73" s="277" t="s">
        <v>436</v>
      </c>
      <c r="AE73" s="277" t="s">
        <v>436</v>
      </c>
      <c r="AF73" s="277" t="s">
        <v>436</v>
      </c>
      <c r="AG73" s="277" t="s">
        <v>436</v>
      </c>
      <c r="AH73" s="115" t="s">
        <v>598</v>
      </c>
      <c r="AI73" s="73"/>
      <c r="AJ73" s="73"/>
    </row>
    <row r="74" spans="1:36" ht="15.75" x14ac:dyDescent="0.25">
      <c r="A74" s="240">
        <f t="shared" ref="A74:A175" si="1">ROW()-5</f>
        <v>69</v>
      </c>
      <c r="B74" s="75" t="s">
        <v>153</v>
      </c>
      <c r="C74" s="276" t="s">
        <v>449</v>
      </c>
      <c r="D74" s="284" t="s">
        <v>469</v>
      </c>
      <c r="E74" s="284" t="s">
        <v>469</v>
      </c>
      <c r="F74" s="284" t="s">
        <v>469</v>
      </c>
      <c r="G74" s="284" t="s">
        <v>469</v>
      </c>
      <c r="H74" s="284" t="s">
        <v>469</v>
      </c>
      <c r="I74" s="284" t="s">
        <v>469</v>
      </c>
      <c r="J74" s="284" t="s">
        <v>469</v>
      </c>
      <c r="K74" s="284" t="s">
        <v>469</v>
      </c>
      <c r="L74" s="284" t="s">
        <v>469</v>
      </c>
      <c r="M74" s="284" t="s">
        <v>469</v>
      </c>
      <c r="N74" s="284" t="s">
        <v>469</v>
      </c>
      <c r="O74" s="284" t="s">
        <v>469</v>
      </c>
      <c r="P74" s="284" t="s">
        <v>469</v>
      </c>
      <c r="Q74" s="284" t="s">
        <v>469</v>
      </c>
      <c r="R74" s="284" t="s">
        <v>469</v>
      </c>
      <c r="S74" s="284" t="s">
        <v>469</v>
      </c>
      <c r="T74" s="284" t="s">
        <v>469</v>
      </c>
      <c r="U74" s="284" t="s">
        <v>469</v>
      </c>
      <c r="V74" s="284" t="s">
        <v>469</v>
      </c>
      <c r="W74" s="284" t="s">
        <v>469</v>
      </c>
      <c r="X74" s="284" t="s">
        <v>469</v>
      </c>
      <c r="Y74" s="284" t="s">
        <v>469</v>
      </c>
      <c r="Z74" s="284" t="s">
        <v>469</v>
      </c>
      <c r="AA74" s="284" t="s">
        <v>469</v>
      </c>
      <c r="AB74" s="285" t="s">
        <v>529</v>
      </c>
      <c r="AC74" s="277" t="s">
        <v>436</v>
      </c>
      <c r="AD74" s="277" t="s">
        <v>436</v>
      </c>
      <c r="AE74" s="277" t="s">
        <v>436</v>
      </c>
      <c r="AF74" s="277" t="s">
        <v>436</v>
      </c>
      <c r="AG74" s="277" t="s">
        <v>436</v>
      </c>
      <c r="AH74" s="117" t="s">
        <v>599</v>
      </c>
      <c r="AI74" s="73"/>
      <c r="AJ74" s="73"/>
    </row>
    <row r="75" spans="1:36" ht="15.75" x14ac:dyDescent="0.25">
      <c r="A75" s="240">
        <f t="shared" si="1"/>
        <v>70</v>
      </c>
      <c r="B75" s="35">
        <v>484</v>
      </c>
      <c r="C75" s="81" t="s">
        <v>600</v>
      </c>
      <c r="D75" s="277" t="s">
        <v>436</v>
      </c>
      <c r="E75" s="277" t="s">
        <v>436</v>
      </c>
      <c r="F75" s="277" t="s">
        <v>436</v>
      </c>
      <c r="G75" s="277" t="s">
        <v>436</v>
      </c>
      <c r="H75" s="277" t="s">
        <v>436</v>
      </c>
      <c r="I75" s="277" t="s">
        <v>436</v>
      </c>
      <c r="J75" s="277" t="s">
        <v>436</v>
      </c>
      <c r="K75" s="277" t="s">
        <v>436</v>
      </c>
      <c r="L75" s="277" t="s">
        <v>436</v>
      </c>
      <c r="M75" s="277" t="s">
        <v>436</v>
      </c>
      <c r="N75" s="277" t="s">
        <v>436</v>
      </c>
      <c r="O75" s="277" t="s">
        <v>436</v>
      </c>
      <c r="P75" s="277" t="s">
        <v>436</v>
      </c>
      <c r="Q75" s="277" t="s">
        <v>436</v>
      </c>
      <c r="R75" s="277" t="s">
        <v>436</v>
      </c>
      <c r="S75" s="277" t="s">
        <v>436</v>
      </c>
      <c r="T75" s="277" t="s">
        <v>436</v>
      </c>
      <c r="U75" s="277" t="s">
        <v>436</v>
      </c>
      <c r="V75" s="286" t="s">
        <v>442</v>
      </c>
      <c r="W75" s="280" t="s">
        <v>442</v>
      </c>
      <c r="X75" s="280" t="s">
        <v>442</v>
      </c>
      <c r="Y75" s="280" t="s">
        <v>442</v>
      </c>
      <c r="Z75" s="280" t="s">
        <v>469</v>
      </c>
      <c r="AA75" s="280" t="s">
        <v>469</v>
      </c>
      <c r="AB75" s="280" t="s">
        <v>469</v>
      </c>
      <c r="AC75" s="280" t="s">
        <v>469</v>
      </c>
      <c r="AD75" s="280" t="s">
        <v>469</v>
      </c>
      <c r="AE75" s="280" t="s">
        <v>469</v>
      </c>
      <c r="AF75" s="280" t="s">
        <v>469</v>
      </c>
      <c r="AG75" s="280" t="s">
        <v>469</v>
      </c>
      <c r="AH75" s="287" t="s">
        <v>601</v>
      </c>
    </row>
    <row r="76" spans="1:36" ht="15.75" x14ac:dyDescent="0.25">
      <c r="A76" s="240">
        <f t="shared" si="1"/>
        <v>71</v>
      </c>
      <c r="B76" s="35">
        <v>837</v>
      </c>
      <c r="C76" s="81" t="s">
        <v>441</v>
      </c>
      <c r="D76" s="277" t="s">
        <v>436</v>
      </c>
      <c r="E76" s="277" t="s">
        <v>436</v>
      </c>
      <c r="F76" s="277" t="s">
        <v>436</v>
      </c>
      <c r="G76" s="277" t="s">
        <v>436</v>
      </c>
      <c r="H76" s="277" t="s">
        <v>436</v>
      </c>
      <c r="I76" s="277" t="s">
        <v>436</v>
      </c>
      <c r="J76" s="277" t="s">
        <v>436</v>
      </c>
      <c r="K76" s="252" t="s">
        <v>426</v>
      </c>
      <c r="L76" s="280" t="s">
        <v>442</v>
      </c>
      <c r="M76" s="277" t="s">
        <v>436</v>
      </c>
      <c r="N76" s="277" t="s">
        <v>436</v>
      </c>
      <c r="O76" s="280" t="s">
        <v>442</v>
      </c>
      <c r="P76" s="277" t="s">
        <v>436</v>
      </c>
      <c r="Q76" s="277" t="s">
        <v>436</v>
      </c>
      <c r="R76" s="277" t="s">
        <v>436</v>
      </c>
      <c r="S76" s="277" t="s">
        <v>436</v>
      </c>
      <c r="T76" s="277" t="s">
        <v>436</v>
      </c>
      <c r="U76" s="277" t="s">
        <v>436</v>
      </c>
      <c r="V76" s="277" t="s">
        <v>436</v>
      </c>
      <c r="W76" s="277" t="s">
        <v>436</v>
      </c>
      <c r="X76" s="277" t="s">
        <v>436</v>
      </c>
      <c r="Y76" s="277" t="s">
        <v>436</v>
      </c>
      <c r="Z76" s="258" t="s">
        <v>442</v>
      </c>
      <c r="AA76" s="277" t="s">
        <v>436</v>
      </c>
      <c r="AB76" s="277" t="s">
        <v>436</v>
      </c>
      <c r="AC76" s="277" t="s">
        <v>436</v>
      </c>
      <c r="AD76" s="277" t="s">
        <v>436</v>
      </c>
      <c r="AE76" s="277" t="s">
        <v>436</v>
      </c>
      <c r="AF76" s="258" t="s">
        <v>442</v>
      </c>
      <c r="AG76" s="277" t="s">
        <v>436</v>
      </c>
      <c r="AH76" s="287" t="s">
        <v>601</v>
      </c>
    </row>
    <row r="77" spans="1:36" ht="15.75" x14ac:dyDescent="0.25">
      <c r="A77" s="240">
        <f t="shared" si="1"/>
        <v>72</v>
      </c>
      <c r="B77" s="35">
        <v>845</v>
      </c>
      <c r="C77" s="81" t="s">
        <v>602</v>
      </c>
      <c r="D77" s="277" t="s">
        <v>436</v>
      </c>
      <c r="E77" s="277" t="s">
        <v>436</v>
      </c>
      <c r="F77" s="277" t="s">
        <v>436</v>
      </c>
      <c r="G77" s="277" t="s">
        <v>436</v>
      </c>
      <c r="H77" s="277" t="s">
        <v>436</v>
      </c>
      <c r="I77" s="277" t="s">
        <v>436</v>
      </c>
      <c r="J77" s="277" t="s">
        <v>436</v>
      </c>
      <c r="K77" s="277" t="s">
        <v>436</v>
      </c>
      <c r="L77" s="277" t="s">
        <v>436</v>
      </c>
      <c r="M77" s="277" t="s">
        <v>436</v>
      </c>
      <c r="N77" s="277" t="s">
        <v>436</v>
      </c>
      <c r="O77" s="277" t="s">
        <v>436</v>
      </c>
      <c r="P77" s="277" t="s">
        <v>436</v>
      </c>
      <c r="Q77" s="277" t="s">
        <v>436</v>
      </c>
      <c r="R77" s="277" t="s">
        <v>436</v>
      </c>
      <c r="S77" s="277" t="s">
        <v>436</v>
      </c>
      <c r="T77" s="277" t="s">
        <v>436</v>
      </c>
      <c r="U77" s="277" t="s">
        <v>436</v>
      </c>
      <c r="V77" s="277" t="s">
        <v>436</v>
      </c>
      <c r="W77" s="277" t="s">
        <v>436</v>
      </c>
      <c r="X77" s="277" t="s">
        <v>436</v>
      </c>
      <c r="Y77" s="277" t="s">
        <v>436</v>
      </c>
      <c r="Z77" s="277" t="s">
        <v>436</v>
      </c>
      <c r="AA77" s="277" t="s">
        <v>436</v>
      </c>
      <c r="AB77" s="277" t="s">
        <v>436</v>
      </c>
      <c r="AC77" s="277" t="s">
        <v>436</v>
      </c>
      <c r="AD77" s="277" t="s">
        <v>436</v>
      </c>
      <c r="AE77" s="277" t="s">
        <v>436</v>
      </c>
      <c r="AF77" s="277" t="s">
        <v>436</v>
      </c>
      <c r="AG77" s="277" t="s">
        <v>436</v>
      </c>
      <c r="AH77" s="287" t="s">
        <v>601</v>
      </c>
    </row>
    <row r="78" spans="1:36" ht="15.75" x14ac:dyDescent="0.25">
      <c r="A78" s="240">
        <f t="shared" si="1"/>
        <v>73</v>
      </c>
      <c r="B78" s="35">
        <v>1009</v>
      </c>
      <c r="C78" s="81" t="s">
        <v>487</v>
      </c>
      <c r="D78" s="277" t="s">
        <v>436</v>
      </c>
      <c r="E78" s="277" t="s">
        <v>436</v>
      </c>
      <c r="F78" s="277" t="s">
        <v>436</v>
      </c>
      <c r="G78" s="277" t="s">
        <v>436</v>
      </c>
      <c r="H78" s="277" t="s">
        <v>436</v>
      </c>
      <c r="I78" s="277" t="s">
        <v>436</v>
      </c>
      <c r="J78" s="277" t="s">
        <v>436</v>
      </c>
      <c r="K78" s="277" t="s">
        <v>436</v>
      </c>
      <c r="L78" s="277" t="s">
        <v>436</v>
      </c>
      <c r="M78" s="277" t="s">
        <v>436</v>
      </c>
      <c r="N78" s="277" t="s">
        <v>436</v>
      </c>
      <c r="O78" s="252" t="s">
        <v>426</v>
      </c>
      <c r="P78" s="277" t="s">
        <v>436</v>
      </c>
      <c r="Q78" s="277" t="s">
        <v>436</v>
      </c>
      <c r="R78" s="277" t="s">
        <v>436</v>
      </c>
      <c r="S78" s="277" t="s">
        <v>436</v>
      </c>
      <c r="T78" s="277" t="s">
        <v>436</v>
      </c>
      <c r="U78" s="277" t="s">
        <v>436</v>
      </c>
      <c r="V78" s="277" t="s">
        <v>436</v>
      </c>
      <c r="W78" s="277" t="s">
        <v>436</v>
      </c>
      <c r="X78" s="277" t="s">
        <v>436</v>
      </c>
      <c r="Y78" s="277" t="s">
        <v>436</v>
      </c>
      <c r="Z78" s="277" t="s">
        <v>436</v>
      </c>
      <c r="AA78" s="277" t="s">
        <v>436</v>
      </c>
      <c r="AB78" s="277" t="s">
        <v>436</v>
      </c>
      <c r="AC78" s="277" t="s">
        <v>436</v>
      </c>
      <c r="AD78" s="277" t="s">
        <v>436</v>
      </c>
      <c r="AE78" s="277" t="s">
        <v>436</v>
      </c>
      <c r="AF78" s="277" t="s">
        <v>436</v>
      </c>
      <c r="AG78" s="277" t="s">
        <v>436</v>
      </c>
      <c r="AH78" s="287" t="s">
        <v>601</v>
      </c>
    </row>
    <row r="79" spans="1:36" ht="15.75" x14ac:dyDescent="0.25">
      <c r="A79" s="240">
        <f t="shared" si="1"/>
        <v>74</v>
      </c>
      <c r="B79" s="110">
        <v>1015</v>
      </c>
      <c r="C79" s="116" t="s">
        <v>502</v>
      </c>
      <c r="D79" s="277" t="s">
        <v>436</v>
      </c>
      <c r="E79" s="277" t="s">
        <v>436</v>
      </c>
      <c r="F79" s="277" t="s">
        <v>436</v>
      </c>
      <c r="G79" s="277" t="s">
        <v>436</v>
      </c>
      <c r="H79" s="277" t="s">
        <v>436</v>
      </c>
      <c r="I79" s="277" t="s">
        <v>436</v>
      </c>
      <c r="J79" s="277" t="s">
        <v>436</v>
      </c>
      <c r="K79" s="277" t="s">
        <v>436</v>
      </c>
      <c r="L79" s="277" t="s">
        <v>436</v>
      </c>
      <c r="M79" s="277" t="s">
        <v>436</v>
      </c>
      <c r="N79" s="277" t="s">
        <v>436</v>
      </c>
      <c r="O79" s="277" t="s">
        <v>436</v>
      </c>
      <c r="P79" s="277" t="s">
        <v>436</v>
      </c>
      <c r="Q79" s="277" t="s">
        <v>436</v>
      </c>
      <c r="R79" s="277" t="s">
        <v>436</v>
      </c>
      <c r="S79" s="277" t="s">
        <v>436</v>
      </c>
      <c r="T79" s="277" t="s">
        <v>436</v>
      </c>
      <c r="U79" s="277" t="s">
        <v>436</v>
      </c>
      <c r="V79" s="277" t="s">
        <v>436</v>
      </c>
      <c r="W79" s="277" t="s">
        <v>436</v>
      </c>
      <c r="X79" s="277" t="s">
        <v>436</v>
      </c>
      <c r="Y79" s="277" t="s">
        <v>436</v>
      </c>
      <c r="Z79" s="277" t="s">
        <v>436</v>
      </c>
      <c r="AA79" s="277" t="s">
        <v>436</v>
      </c>
      <c r="AB79" s="277" t="s">
        <v>436</v>
      </c>
      <c r="AC79" s="277" t="s">
        <v>436</v>
      </c>
      <c r="AD79" s="277" t="s">
        <v>436</v>
      </c>
      <c r="AE79" s="277" t="s">
        <v>436</v>
      </c>
      <c r="AF79" s="278" t="s">
        <v>436</v>
      </c>
      <c r="AG79" s="277" t="s">
        <v>436</v>
      </c>
      <c r="AH79" s="287" t="s">
        <v>601</v>
      </c>
    </row>
    <row r="80" spans="1:36" ht="15.75" x14ac:dyDescent="0.25">
      <c r="A80" s="240">
        <f t="shared" si="1"/>
        <v>75</v>
      </c>
      <c r="B80" s="75">
        <v>2174</v>
      </c>
      <c r="C80" s="116" t="s">
        <v>494</v>
      </c>
      <c r="D80" s="277" t="s">
        <v>436</v>
      </c>
      <c r="E80" s="277" t="s">
        <v>436</v>
      </c>
      <c r="F80" s="277" t="s">
        <v>436</v>
      </c>
      <c r="G80" s="277" t="s">
        <v>436</v>
      </c>
      <c r="H80" s="280" t="s">
        <v>442</v>
      </c>
      <c r="I80" s="280" t="s">
        <v>442</v>
      </c>
      <c r="J80" s="288" t="s">
        <v>469</v>
      </c>
      <c r="K80" s="288" t="s">
        <v>469</v>
      </c>
      <c r="L80" s="288" t="s">
        <v>469</v>
      </c>
      <c r="M80" s="288" t="s">
        <v>469</v>
      </c>
      <c r="N80" s="288" t="s">
        <v>469</v>
      </c>
      <c r="O80" s="288" t="s">
        <v>469</v>
      </c>
      <c r="P80" s="288" t="s">
        <v>469</v>
      </c>
      <c r="Q80" s="288" t="s">
        <v>469</v>
      </c>
      <c r="R80" s="288" t="s">
        <v>469</v>
      </c>
      <c r="S80" s="288" t="s">
        <v>469</v>
      </c>
      <c r="T80" s="288" t="s">
        <v>469</v>
      </c>
      <c r="U80" s="288" t="s">
        <v>469</v>
      </c>
      <c r="V80" s="288" t="s">
        <v>469</v>
      </c>
      <c r="W80" s="288" t="s">
        <v>469</v>
      </c>
      <c r="X80" s="288" t="s">
        <v>469</v>
      </c>
      <c r="Y80" s="288" t="s">
        <v>469</v>
      </c>
      <c r="Z80" s="288" t="s">
        <v>469</v>
      </c>
      <c r="AA80" s="288" t="s">
        <v>469</v>
      </c>
      <c r="AB80" s="288" t="s">
        <v>469</v>
      </c>
      <c r="AC80" s="288" t="s">
        <v>469</v>
      </c>
      <c r="AD80" s="288" t="s">
        <v>469</v>
      </c>
      <c r="AE80" s="288" t="s">
        <v>469</v>
      </c>
      <c r="AF80" s="288" t="s">
        <v>469</v>
      </c>
      <c r="AG80" s="288" t="s">
        <v>469</v>
      </c>
      <c r="AH80" s="287" t="s">
        <v>601</v>
      </c>
      <c r="AI80" s="73"/>
      <c r="AJ80" s="73"/>
    </row>
    <row r="81" spans="1:36" ht="15.75" x14ac:dyDescent="0.25">
      <c r="A81" s="240">
        <f t="shared" si="1"/>
        <v>76</v>
      </c>
      <c r="B81" s="109" t="s">
        <v>192</v>
      </c>
      <c r="C81" s="116" t="s">
        <v>468</v>
      </c>
      <c r="D81" s="277" t="s">
        <v>436</v>
      </c>
      <c r="E81" s="277" t="s">
        <v>436</v>
      </c>
      <c r="F81" s="277" t="s">
        <v>436</v>
      </c>
      <c r="G81" s="277" t="s">
        <v>436</v>
      </c>
      <c r="H81" s="277" t="s">
        <v>436</v>
      </c>
      <c r="I81" s="277" t="s">
        <v>436</v>
      </c>
      <c r="J81" s="277" t="s">
        <v>436</v>
      </c>
      <c r="K81" s="277" t="s">
        <v>436</v>
      </c>
      <c r="L81" s="277" t="s">
        <v>436</v>
      </c>
      <c r="M81" s="277" t="s">
        <v>436</v>
      </c>
      <c r="N81" s="277" t="s">
        <v>436</v>
      </c>
      <c r="O81" s="277" t="s">
        <v>436</v>
      </c>
      <c r="P81" s="277" t="s">
        <v>436</v>
      </c>
      <c r="Q81" s="277" t="s">
        <v>436</v>
      </c>
      <c r="R81" s="277" t="s">
        <v>436</v>
      </c>
      <c r="S81" s="277" t="s">
        <v>436</v>
      </c>
      <c r="T81" s="277" t="s">
        <v>436</v>
      </c>
      <c r="U81" s="277" t="s">
        <v>436</v>
      </c>
      <c r="V81" s="277" t="s">
        <v>436</v>
      </c>
      <c r="W81" s="277" t="s">
        <v>436</v>
      </c>
      <c r="X81" s="277" t="s">
        <v>436</v>
      </c>
      <c r="Y81" s="277" t="s">
        <v>436</v>
      </c>
      <c r="Z81" s="277" t="s">
        <v>436</v>
      </c>
      <c r="AA81" s="277" t="s">
        <v>436</v>
      </c>
      <c r="AB81" s="277" t="s">
        <v>436</v>
      </c>
      <c r="AC81" s="277" t="s">
        <v>436</v>
      </c>
      <c r="AD81" s="277" t="s">
        <v>436</v>
      </c>
      <c r="AE81" s="277" t="s">
        <v>436</v>
      </c>
      <c r="AF81" s="277" t="s">
        <v>436</v>
      </c>
      <c r="AG81" s="277" t="s">
        <v>436</v>
      </c>
      <c r="AH81" s="287" t="s">
        <v>601</v>
      </c>
    </row>
    <row r="82" spans="1:36" ht="15.75" x14ac:dyDescent="0.25">
      <c r="A82" s="240">
        <f t="shared" si="1"/>
        <v>77</v>
      </c>
      <c r="B82" s="90" t="s">
        <v>210</v>
      </c>
      <c r="C82" s="81" t="s">
        <v>462</v>
      </c>
      <c r="D82" s="277" t="s">
        <v>436</v>
      </c>
      <c r="E82" s="277" t="s">
        <v>436</v>
      </c>
      <c r="F82" s="277" t="s">
        <v>436</v>
      </c>
      <c r="G82" s="277" t="s">
        <v>436</v>
      </c>
      <c r="H82" s="277" t="s">
        <v>436</v>
      </c>
      <c r="I82" s="277" t="s">
        <v>436</v>
      </c>
      <c r="J82" s="277" t="s">
        <v>436</v>
      </c>
      <c r="K82" s="277" t="s">
        <v>436</v>
      </c>
      <c r="L82" s="252" t="s">
        <v>426</v>
      </c>
      <c r="M82" s="277" t="s">
        <v>436</v>
      </c>
      <c r="N82" s="277" t="s">
        <v>436</v>
      </c>
      <c r="O82" s="277" t="s">
        <v>436</v>
      </c>
      <c r="P82" s="277" t="s">
        <v>436</v>
      </c>
      <c r="Q82" s="277" t="s">
        <v>436</v>
      </c>
      <c r="R82" s="277" t="s">
        <v>436</v>
      </c>
      <c r="S82" s="277" t="s">
        <v>436</v>
      </c>
      <c r="T82" s="277" t="s">
        <v>436</v>
      </c>
      <c r="U82" s="277" t="s">
        <v>436</v>
      </c>
      <c r="V82" s="277" t="s">
        <v>436</v>
      </c>
      <c r="W82" s="280" t="s">
        <v>442</v>
      </c>
      <c r="X82" s="277" t="s">
        <v>436</v>
      </c>
      <c r="Y82" s="277" t="s">
        <v>436</v>
      </c>
      <c r="Z82" s="277" t="s">
        <v>436</v>
      </c>
      <c r="AA82" s="252" t="s">
        <v>426</v>
      </c>
      <c r="AB82" s="280" t="s">
        <v>442</v>
      </c>
      <c r="AC82" s="277" t="s">
        <v>436</v>
      </c>
      <c r="AD82" s="277" t="s">
        <v>436</v>
      </c>
      <c r="AE82" s="277" t="s">
        <v>436</v>
      </c>
      <c r="AF82" s="277" t="s">
        <v>436</v>
      </c>
      <c r="AG82" s="277" t="s">
        <v>436</v>
      </c>
      <c r="AH82" s="287" t="s">
        <v>601</v>
      </c>
    </row>
    <row r="83" spans="1:36" ht="15.75" x14ac:dyDescent="0.25">
      <c r="A83" s="240">
        <f t="shared" si="1"/>
        <v>78</v>
      </c>
      <c r="B83" s="75" t="s">
        <v>286</v>
      </c>
      <c r="C83" s="289" t="s">
        <v>483</v>
      </c>
      <c r="D83" s="277" t="s">
        <v>436</v>
      </c>
      <c r="E83" s="277" t="s">
        <v>436</v>
      </c>
      <c r="F83" s="277" t="s">
        <v>436</v>
      </c>
      <c r="G83" s="277" t="s">
        <v>436</v>
      </c>
      <c r="H83" s="277" t="s">
        <v>436</v>
      </c>
      <c r="I83" s="277" t="s">
        <v>436</v>
      </c>
      <c r="J83" s="277" t="s">
        <v>436</v>
      </c>
      <c r="K83" s="277" t="s">
        <v>436</v>
      </c>
      <c r="L83" s="277" t="s">
        <v>436</v>
      </c>
      <c r="M83" s="277" t="s">
        <v>436</v>
      </c>
      <c r="N83" s="277" t="s">
        <v>436</v>
      </c>
      <c r="O83" s="277" t="s">
        <v>436</v>
      </c>
      <c r="P83" s="277" t="s">
        <v>436</v>
      </c>
      <c r="Q83" s="277" t="s">
        <v>436</v>
      </c>
      <c r="R83" s="277" t="s">
        <v>436</v>
      </c>
      <c r="S83" s="277" t="s">
        <v>436</v>
      </c>
      <c r="T83" s="277" t="s">
        <v>436</v>
      </c>
      <c r="U83" s="277" t="s">
        <v>436</v>
      </c>
      <c r="V83" s="277" t="s">
        <v>436</v>
      </c>
      <c r="W83" s="277" t="s">
        <v>436</v>
      </c>
      <c r="X83" s="277" t="s">
        <v>436</v>
      </c>
      <c r="Y83" s="277" t="s">
        <v>436</v>
      </c>
      <c r="Z83" s="277" t="s">
        <v>436</v>
      </c>
      <c r="AA83" s="277" t="s">
        <v>436</v>
      </c>
      <c r="AB83" s="277" t="s">
        <v>436</v>
      </c>
      <c r="AC83" s="277" t="s">
        <v>436</v>
      </c>
      <c r="AD83" s="277" t="s">
        <v>436</v>
      </c>
      <c r="AE83" s="277" t="s">
        <v>436</v>
      </c>
      <c r="AF83" s="277" t="s">
        <v>436</v>
      </c>
      <c r="AG83" s="277" t="s">
        <v>436</v>
      </c>
      <c r="AH83" s="287" t="s">
        <v>601</v>
      </c>
    </row>
    <row r="84" spans="1:36" ht="15.75" x14ac:dyDescent="0.25">
      <c r="A84" s="240">
        <f t="shared" si="1"/>
        <v>79</v>
      </c>
      <c r="B84" s="290" t="s">
        <v>525</v>
      </c>
      <c r="C84" s="291" t="s">
        <v>526</v>
      </c>
      <c r="D84" s="277" t="s">
        <v>436</v>
      </c>
      <c r="E84" s="277" t="s">
        <v>436</v>
      </c>
      <c r="F84" s="277" t="s">
        <v>436</v>
      </c>
      <c r="G84" s="277" t="s">
        <v>436</v>
      </c>
      <c r="H84" s="277" t="s">
        <v>436</v>
      </c>
      <c r="I84" s="277" t="s">
        <v>436</v>
      </c>
      <c r="J84" s="277" t="s">
        <v>436</v>
      </c>
      <c r="K84" s="277" t="s">
        <v>436</v>
      </c>
      <c r="L84" s="277" t="s">
        <v>436</v>
      </c>
      <c r="M84" s="277" t="s">
        <v>436</v>
      </c>
      <c r="N84" s="277" t="s">
        <v>436</v>
      </c>
      <c r="O84" s="277" t="s">
        <v>436</v>
      </c>
      <c r="P84" s="277" t="s">
        <v>436</v>
      </c>
      <c r="Q84" s="277" t="s">
        <v>436</v>
      </c>
      <c r="R84" s="277" t="s">
        <v>436</v>
      </c>
      <c r="S84" s="277" t="s">
        <v>436</v>
      </c>
      <c r="T84" s="277" t="s">
        <v>436</v>
      </c>
      <c r="U84" s="277" t="s">
        <v>436</v>
      </c>
      <c r="V84" s="277" t="s">
        <v>436</v>
      </c>
      <c r="W84" s="277" t="s">
        <v>436</v>
      </c>
      <c r="X84" s="277" t="s">
        <v>436</v>
      </c>
      <c r="Y84" s="277" t="s">
        <v>436</v>
      </c>
      <c r="Z84" s="277" t="s">
        <v>436</v>
      </c>
      <c r="AA84" s="277" t="s">
        <v>436</v>
      </c>
      <c r="AB84" s="277" t="s">
        <v>436</v>
      </c>
      <c r="AC84" s="277" t="s">
        <v>436</v>
      </c>
      <c r="AD84" s="277" t="s">
        <v>436</v>
      </c>
      <c r="AE84" s="277" t="s">
        <v>436</v>
      </c>
      <c r="AF84" s="277" t="s">
        <v>436</v>
      </c>
      <c r="AG84" s="277" t="s">
        <v>436</v>
      </c>
      <c r="AH84" s="287" t="s">
        <v>601</v>
      </c>
    </row>
    <row r="85" spans="1:36" ht="15.75" x14ac:dyDescent="0.25">
      <c r="A85" s="240">
        <f t="shared" si="1"/>
        <v>80</v>
      </c>
      <c r="B85" s="292" t="s">
        <v>372</v>
      </c>
      <c r="C85" s="116" t="s">
        <v>450</v>
      </c>
      <c r="D85" s="293" t="s">
        <v>436</v>
      </c>
      <c r="E85" s="280" t="s">
        <v>442</v>
      </c>
      <c r="F85" s="293" t="s">
        <v>436</v>
      </c>
      <c r="G85" s="293" t="s">
        <v>436</v>
      </c>
      <c r="H85" s="285" t="s">
        <v>529</v>
      </c>
      <c r="I85" s="285" t="s">
        <v>529</v>
      </c>
      <c r="J85" s="285" t="s">
        <v>529</v>
      </c>
      <c r="K85" s="285" t="s">
        <v>529</v>
      </c>
      <c r="L85" s="285" t="s">
        <v>529</v>
      </c>
      <c r="M85" s="277" t="s">
        <v>436</v>
      </c>
      <c r="N85" s="277" t="s">
        <v>436</v>
      </c>
      <c r="O85" s="277" t="s">
        <v>436</v>
      </c>
      <c r="P85" s="277" t="s">
        <v>436</v>
      </c>
      <c r="Q85" s="277" t="s">
        <v>436</v>
      </c>
      <c r="R85" s="277" t="s">
        <v>436</v>
      </c>
      <c r="S85" s="277" t="s">
        <v>436</v>
      </c>
      <c r="T85" s="277" t="s">
        <v>436</v>
      </c>
      <c r="U85" s="277" t="s">
        <v>436</v>
      </c>
      <c r="V85" s="277" t="s">
        <v>436</v>
      </c>
      <c r="W85" s="277" t="s">
        <v>436</v>
      </c>
      <c r="X85" s="277" t="s">
        <v>436</v>
      </c>
      <c r="Y85" s="277" t="s">
        <v>436</v>
      </c>
      <c r="Z85" s="277" t="s">
        <v>436</v>
      </c>
      <c r="AA85" s="277" t="s">
        <v>436</v>
      </c>
      <c r="AB85" s="277" t="s">
        <v>436</v>
      </c>
      <c r="AC85" s="277" t="s">
        <v>436</v>
      </c>
      <c r="AD85" s="277" t="s">
        <v>436</v>
      </c>
      <c r="AE85" s="277" t="s">
        <v>436</v>
      </c>
      <c r="AF85" s="277" t="s">
        <v>436</v>
      </c>
      <c r="AG85" s="277" t="s">
        <v>436</v>
      </c>
      <c r="AH85" s="117" t="s">
        <v>603</v>
      </c>
      <c r="AI85" s="73"/>
      <c r="AJ85" s="73"/>
    </row>
    <row r="86" spans="1:36" ht="15.75" x14ac:dyDescent="0.25">
      <c r="A86" s="240">
        <f t="shared" si="1"/>
        <v>81</v>
      </c>
      <c r="B86" s="35">
        <v>1055</v>
      </c>
      <c r="C86" s="81" t="s">
        <v>448</v>
      </c>
      <c r="D86" s="284" t="s">
        <v>469</v>
      </c>
      <c r="E86" s="284" t="s">
        <v>469</v>
      </c>
      <c r="F86" s="284" t="s">
        <v>469</v>
      </c>
      <c r="G86" s="284" t="s">
        <v>469</v>
      </c>
      <c r="H86" s="284" t="s">
        <v>469</v>
      </c>
      <c r="I86" s="284" t="s">
        <v>469</v>
      </c>
      <c r="J86" s="284" t="s">
        <v>469</v>
      </c>
      <c r="K86" s="284" t="s">
        <v>469</v>
      </c>
      <c r="L86" s="285" t="s">
        <v>442</v>
      </c>
      <c r="M86" s="277" t="s">
        <v>436</v>
      </c>
      <c r="N86" s="277" t="s">
        <v>436</v>
      </c>
      <c r="O86" s="277" t="s">
        <v>436</v>
      </c>
      <c r="P86" s="277" t="s">
        <v>436</v>
      </c>
      <c r="Q86" s="277" t="s">
        <v>436</v>
      </c>
      <c r="R86" s="277" t="s">
        <v>436</v>
      </c>
      <c r="S86" s="277" t="s">
        <v>436</v>
      </c>
      <c r="T86" s="277" t="s">
        <v>436</v>
      </c>
      <c r="U86" s="277" t="s">
        <v>436</v>
      </c>
      <c r="V86" s="277" t="s">
        <v>436</v>
      </c>
      <c r="W86" s="277" t="s">
        <v>436</v>
      </c>
      <c r="X86" s="277" t="s">
        <v>436</v>
      </c>
      <c r="Y86" s="277" t="s">
        <v>436</v>
      </c>
      <c r="Z86" s="277" t="s">
        <v>436</v>
      </c>
      <c r="AA86" s="277" t="s">
        <v>436</v>
      </c>
      <c r="AB86" s="277" t="s">
        <v>436</v>
      </c>
      <c r="AC86" s="277" t="s">
        <v>436</v>
      </c>
      <c r="AD86" s="277" t="s">
        <v>436</v>
      </c>
      <c r="AE86" s="277" t="s">
        <v>436</v>
      </c>
      <c r="AF86" s="277" t="s">
        <v>436</v>
      </c>
      <c r="AG86" s="277" t="s">
        <v>436</v>
      </c>
      <c r="AH86" s="294" t="s">
        <v>604</v>
      </c>
    </row>
    <row r="87" spans="1:36" ht="15.75" x14ac:dyDescent="0.25">
      <c r="A87" s="240">
        <f t="shared" si="1"/>
        <v>82</v>
      </c>
      <c r="B87" s="90" t="s">
        <v>550</v>
      </c>
      <c r="C87" s="81" t="s">
        <v>551</v>
      </c>
      <c r="D87" s="280" t="s">
        <v>442</v>
      </c>
      <c r="E87" s="257" t="s">
        <v>436</v>
      </c>
      <c r="F87" s="257" t="s">
        <v>436</v>
      </c>
      <c r="G87" s="257" t="s">
        <v>436</v>
      </c>
      <c r="H87" s="288" t="s">
        <v>529</v>
      </c>
      <c r="I87" s="288" t="s">
        <v>529</v>
      </c>
      <c r="J87" s="288" t="s">
        <v>529</v>
      </c>
      <c r="K87" s="288" t="s">
        <v>529</v>
      </c>
      <c r="L87" s="285" t="s">
        <v>529</v>
      </c>
      <c r="M87" s="277" t="s">
        <v>436</v>
      </c>
      <c r="N87" s="277" t="s">
        <v>436</v>
      </c>
      <c r="O87" s="277" t="s">
        <v>436</v>
      </c>
      <c r="P87" s="277" t="s">
        <v>436</v>
      </c>
      <c r="Q87" s="277" t="s">
        <v>436</v>
      </c>
      <c r="R87" s="277" t="s">
        <v>436</v>
      </c>
      <c r="S87" s="277" t="s">
        <v>436</v>
      </c>
      <c r="T87" s="277" t="s">
        <v>436</v>
      </c>
      <c r="U87" s="277" t="s">
        <v>436</v>
      </c>
      <c r="V87" s="277" t="s">
        <v>436</v>
      </c>
      <c r="W87" s="277" t="s">
        <v>436</v>
      </c>
      <c r="X87" s="277" t="s">
        <v>436</v>
      </c>
      <c r="Y87" s="277" t="s">
        <v>436</v>
      </c>
      <c r="Z87" s="277" t="s">
        <v>436</v>
      </c>
      <c r="AA87" s="277" t="s">
        <v>436</v>
      </c>
      <c r="AB87" s="277" t="s">
        <v>436</v>
      </c>
      <c r="AC87" s="277" t="s">
        <v>436</v>
      </c>
      <c r="AD87" s="277" t="s">
        <v>436</v>
      </c>
      <c r="AE87" s="277" t="s">
        <v>436</v>
      </c>
      <c r="AF87" s="277" t="s">
        <v>436</v>
      </c>
      <c r="AG87" s="277" t="s">
        <v>436</v>
      </c>
      <c r="AH87" s="120" t="s">
        <v>605</v>
      </c>
    </row>
    <row r="88" spans="1:36" ht="15.75" x14ac:dyDescent="0.25">
      <c r="A88" s="240">
        <f t="shared" si="1"/>
        <v>83</v>
      </c>
      <c r="B88" s="90">
        <v>777</v>
      </c>
      <c r="C88" s="276" t="s">
        <v>439</v>
      </c>
      <c r="D88" s="295" t="s">
        <v>436</v>
      </c>
      <c r="E88" s="295" t="s">
        <v>436</v>
      </c>
      <c r="F88" s="295" t="s">
        <v>436</v>
      </c>
      <c r="G88" s="295" t="s">
        <v>436</v>
      </c>
      <c r="H88" s="295" t="s">
        <v>436</v>
      </c>
      <c r="I88" s="295" t="s">
        <v>436</v>
      </c>
      <c r="J88" s="295" t="s">
        <v>436</v>
      </c>
      <c r="K88" s="295" t="s">
        <v>436</v>
      </c>
      <c r="L88" s="295" t="s">
        <v>436</v>
      </c>
      <c r="M88" s="295" t="s">
        <v>436</v>
      </c>
      <c r="N88" s="295" t="s">
        <v>436</v>
      </c>
      <c r="O88" s="295" t="s">
        <v>436</v>
      </c>
      <c r="P88" s="295" t="s">
        <v>436</v>
      </c>
      <c r="Q88" s="295" t="s">
        <v>436</v>
      </c>
      <c r="R88" s="295" t="s">
        <v>436</v>
      </c>
      <c r="S88" s="295" t="s">
        <v>436</v>
      </c>
      <c r="T88" s="295" t="s">
        <v>436</v>
      </c>
      <c r="U88" s="295" t="s">
        <v>436</v>
      </c>
      <c r="V88" s="295" t="s">
        <v>436</v>
      </c>
      <c r="W88" s="295" t="s">
        <v>436</v>
      </c>
      <c r="X88" s="295" t="s">
        <v>436</v>
      </c>
      <c r="Y88" s="280" t="s">
        <v>442</v>
      </c>
      <c r="Z88" s="295" t="s">
        <v>436</v>
      </c>
      <c r="AA88" s="295" t="s">
        <v>436</v>
      </c>
      <c r="AB88" s="295" t="s">
        <v>436</v>
      </c>
      <c r="AC88" s="295" t="s">
        <v>436</v>
      </c>
      <c r="AD88" s="295" t="s">
        <v>436</v>
      </c>
      <c r="AE88" s="295" t="s">
        <v>436</v>
      </c>
      <c r="AF88" s="295" t="s">
        <v>436</v>
      </c>
      <c r="AG88" s="295" t="s">
        <v>436</v>
      </c>
      <c r="AH88" s="115" t="s">
        <v>606</v>
      </c>
    </row>
    <row r="89" spans="1:36" x14ac:dyDescent="0.25">
      <c r="A89" s="240">
        <f t="shared" si="1"/>
        <v>84</v>
      </c>
      <c r="B89" s="296">
        <v>818</v>
      </c>
      <c r="C89" s="297" t="s">
        <v>501</v>
      </c>
      <c r="D89" s="295" t="s">
        <v>436</v>
      </c>
      <c r="E89" s="295" t="s">
        <v>436</v>
      </c>
      <c r="F89" s="295" t="s">
        <v>436</v>
      </c>
      <c r="G89" s="295" t="s">
        <v>436</v>
      </c>
      <c r="H89" s="295" t="s">
        <v>436</v>
      </c>
      <c r="I89" s="295" t="s">
        <v>436</v>
      </c>
      <c r="J89" s="295" t="s">
        <v>436</v>
      </c>
      <c r="K89" s="295" t="s">
        <v>436</v>
      </c>
      <c r="L89" s="295" t="s">
        <v>436</v>
      </c>
      <c r="M89" s="295" t="s">
        <v>436</v>
      </c>
      <c r="N89" s="295" t="s">
        <v>436</v>
      </c>
      <c r="O89" s="295" t="s">
        <v>436</v>
      </c>
      <c r="P89" s="295" t="s">
        <v>436</v>
      </c>
      <c r="Q89" s="295" t="s">
        <v>436</v>
      </c>
      <c r="R89" s="295" t="s">
        <v>436</v>
      </c>
      <c r="S89" s="295" t="s">
        <v>436</v>
      </c>
      <c r="T89" s="295" t="s">
        <v>436</v>
      </c>
      <c r="U89" s="295" t="s">
        <v>436</v>
      </c>
      <c r="V89" s="295" t="s">
        <v>436</v>
      </c>
      <c r="W89" s="295" t="s">
        <v>436</v>
      </c>
      <c r="X89" s="295" t="s">
        <v>436</v>
      </c>
      <c r="Y89" s="295" t="s">
        <v>436</v>
      </c>
      <c r="Z89" s="295" t="s">
        <v>436</v>
      </c>
      <c r="AA89" s="295" t="s">
        <v>436</v>
      </c>
      <c r="AB89" s="295" t="s">
        <v>436</v>
      </c>
      <c r="AC89" s="295" t="s">
        <v>436</v>
      </c>
      <c r="AD89" s="295" t="s">
        <v>436</v>
      </c>
      <c r="AE89" s="295" t="s">
        <v>436</v>
      </c>
      <c r="AF89" s="295" t="s">
        <v>436</v>
      </c>
      <c r="AG89" s="295" t="s">
        <v>436</v>
      </c>
      <c r="AH89" s="115" t="s">
        <v>606</v>
      </c>
      <c r="AI89" s="298"/>
      <c r="AJ89" s="298"/>
    </row>
    <row r="90" spans="1:36" x14ac:dyDescent="0.25">
      <c r="A90" s="240">
        <f t="shared" si="1"/>
        <v>85</v>
      </c>
      <c r="B90" s="75">
        <v>1034</v>
      </c>
      <c r="C90" s="279" t="s">
        <v>446</v>
      </c>
      <c r="D90" s="295" t="s">
        <v>436</v>
      </c>
      <c r="E90" s="295" t="s">
        <v>436</v>
      </c>
      <c r="F90" s="295" t="s">
        <v>436</v>
      </c>
      <c r="G90" s="295" t="s">
        <v>436</v>
      </c>
      <c r="H90" s="295" t="s">
        <v>436</v>
      </c>
      <c r="I90" s="295" t="s">
        <v>436</v>
      </c>
      <c r="J90" s="295" t="s">
        <v>436</v>
      </c>
      <c r="K90" s="295" t="s">
        <v>436</v>
      </c>
      <c r="L90" s="295" t="s">
        <v>436</v>
      </c>
      <c r="M90" s="295" t="s">
        <v>436</v>
      </c>
      <c r="N90" s="295" t="s">
        <v>436</v>
      </c>
      <c r="O90" s="295" t="s">
        <v>436</v>
      </c>
      <c r="P90" s="295" t="s">
        <v>436</v>
      </c>
      <c r="Q90" s="295" t="s">
        <v>436</v>
      </c>
      <c r="R90" s="295" t="s">
        <v>436</v>
      </c>
      <c r="S90" s="295" t="s">
        <v>436</v>
      </c>
      <c r="T90" s="295" t="s">
        <v>436</v>
      </c>
      <c r="U90" s="295" t="s">
        <v>436</v>
      </c>
      <c r="V90" s="295" t="s">
        <v>436</v>
      </c>
      <c r="W90" s="295" t="s">
        <v>436</v>
      </c>
      <c r="X90" s="295" t="s">
        <v>436</v>
      </c>
      <c r="Y90" s="295" t="s">
        <v>436</v>
      </c>
      <c r="Z90" s="295" t="s">
        <v>436</v>
      </c>
      <c r="AA90" s="295" t="s">
        <v>436</v>
      </c>
      <c r="AB90" s="295" t="s">
        <v>436</v>
      </c>
      <c r="AC90" s="295" t="s">
        <v>436</v>
      </c>
      <c r="AD90" s="295" t="s">
        <v>436</v>
      </c>
      <c r="AE90" s="295" t="s">
        <v>436</v>
      </c>
      <c r="AF90" s="295" t="s">
        <v>436</v>
      </c>
      <c r="AG90" s="295" t="s">
        <v>436</v>
      </c>
      <c r="AH90" s="115" t="s">
        <v>606</v>
      </c>
      <c r="AI90" s="73"/>
      <c r="AJ90" s="73"/>
    </row>
    <row r="91" spans="1:36" x14ac:dyDescent="0.25">
      <c r="A91" s="240">
        <f t="shared" si="1"/>
        <v>86</v>
      </c>
      <c r="B91" s="35" t="s">
        <v>413</v>
      </c>
      <c r="C91" s="276" t="s">
        <v>488</v>
      </c>
      <c r="D91" s="295" t="s">
        <v>436</v>
      </c>
      <c r="E91" s="295" t="s">
        <v>436</v>
      </c>
      <c r="F91" s="295" t="s">
        <v>436</v>
      </c>
      <c r="G91" s="295" t="s">
        <v>436</v>
      </c>
      <c r="H91" s="295" t="s">
        <v>436</v>
      </c>
      <c r="I91" s="295" t="s">
        <v>436</v>
      </c>
      <c r="J91" s="295" t="s">
        <v>436</v>
      </c>
      <c r="K91" s="299" t="s">
        <v>442</v>
      </c>
      <c r="L91" s="284" t="s">
        <v>469</v>
      </c>
      <c r="M91" s="284" t="s">
        <v>469</v>
      </c>
      <c r="N91" s="284" t="s">
        <v>469</v>
      </c>
      <c r="O91" s="284" t="s">
        <v>469</v>
      </c>
      <c r="P91" s="284" t="s">
        <v>469</v>
      </c>
      <c r="Q91" s="284" t="s">
        <v>469</v>
      </c>
      <c r="R91" s="284" t="s">
        <v>469</v>
      </c>
      <c r="S91" s="284" t="s">
        <v>469</v>
      </c>
      <c r="T91" s="284" t="s">
        <v>469</v>
      </c>
      <c r="U91" s="284" t="s">
        <v>469</v>
      </c>
      <c r="V91" s="284" t="s">
        <v>469</v>
      </c>
      <c r="W91" s="284" t="s">
        <v>469</v>
      </c>
      <c r="X91" s="284" t="s">
        <v>469</v>
      </c>
      <c r="Y91" s="284" t="s">
        <v>469</v>
      </c>
      <c r="Z91" s="284" t="s">
        <v>469</v>
      </c>
      <c r="AA91" s="284" t="s">
        <v>469</v>
      </c>
      <c r="AB91" s="284" t="s">
        <v>469</v>
      </c>
      <c r="AC91" s="284" t="s">
        <v>469</v>
      </c>
      <c r="AD91" s="284" t="s">
        <v>469</v>
      </c>
      <c r="AE91" s="284" t="s">
        <v>469</v>
      </c>
      <c r="AF91" s="284" t="s">
        <v>469</v>
      </c>
      <c r="AG91" s="284" t="s">
        <v>469</v>
      </c>
      <c r="AH91" s="115" t="s">
        <v>607</v>
      </c>
    </row>
    <row r="92" spans="1:36" x14ac:dyDescent="0.25">
      <c r="A92" s="240">
        <f t="shared" si="1"/>
        <v>87</v>
      </c>
      <c r="B92" s="109" t="s">
        <v>190</v>
      </c>
      <c r="C92" s="279" t="s">
        <v>467</v>
      </c>
      <c r="D92" s="295" t="s">
        <v>436</v>
      </c>
      <c r="E92" s="295" t="s">
        <v>436</v>
      </c>
      <c r="F92" s="295" t="s">
        <v>436</v>
      </c>
      <c r="G92" s="295" t="s">
        <v>436</v>
      </c>
      <c r="H92" s="295" t="s">
        <v>436</v>
      </c>
      <c r="I92" s="295" t="s">
        <v>436</v>
      </c>
      <c r="J92" s="295" t="s">
        <v>436</v>
      </c>
      <c r="K92" s="295" t="s">
        <v>436</v>
      </c>
      <c r="L92" s="295" t="s">
        <v>436</v>
      </c>
      <c r="M92" s="295" t="s">
        <v>436</v>
      </c>
      <c r="N92" s="295" t="s">
        <v>436</v>
      </c>
      <c r="O92" s="252" t="s">
        <v>426</v>
      </c>
      <c r="P92" s="295" t="s">
        <v>436</v>
      </c>
      <c r="Q92" s="295" t="s">
        <v>436</v>
      </c>
      <c r="R92" s="295" t="s">
        <v>436</v>
      </c>
      <c r="S92" s="295" t="s">
        <v>436</v>
      </c>
      <c r="T92" s="295" t="s">
        <v>436</v>
      </c>
      <c r="U92" s="295" t="s">
        <v>436</v>
      </c>
      <c r="V92" s="295" t="s">
        <v>436</v>
      </c>
      <c r="W92" s="295" t="s">
        <v>436</v>
      </c>
      <c r="X92" s="295" t="s">
        <v>436</v>
      </c>
      <c r="Y92" s="295" t="s">
        <v>436</v>
      </c>
      <c r="Z92" s="295" t="s">
        <v>436</v>
      </c>
      <c r="AA92" s="295" t="s">
        <v>436</v>
      </c>
      <c r="AB92" s="295" t="s">
        <v>436</v>
      </c>
      <c r="AC92" s="295" t="s">
        <v>436</v>
      </c>
      <c r="AD92" s="295" t="s">
        <v>436</v>
      </c>
      <c r="AE92" s="295" t="s">
        <v>436</v>
      </c>
      <c r="AF92" s="295" t="s">
        <v>436</v>
      </c>
      <c r="AG92" s="295" t="s">
        <v>436</v>
      </c>
      <c r="AH92" s="115" t="s">
        <v>606</v>
      </c>
    </row>
    <row r="93" spans="1:36" x14ac:dyDescent="0.25">
      <c r="A93" s="240">
        <f t="shared" si="1"/>
        <v>88</v>
      </c>
      <c r="B93" s="109" t="s">
        <v>216</v>
      </c>
      <c r="C93" s="279" t="s">
        <v>471</v>
      </c>
      <c r="D93" s="295" t="s">
        <v>436</v>
      </c>
      <c r="E93" s="295" t="s">
        <v>436</v>
      </c>
      <c r="F93" s="295" t="s">
        <v>436</v>
      </c>
      <c r="G93" s="295" t="s">
        <v>436</v>
      </c>
      <c r="H93" s="295" t="s">
        <v>436</v>
      </c>
      <c r="I93" s="295" t="s">
        <v>436</v>
      </c>
      <c r="J93" s="295" t="s">
        <v>436</v>
      </c>
      <c r="K93" s="295" t="s">
        <v>436</v>
      </c>
      <c r="L93" s="295" t="s">
        <v>436</v>
      </c>
      <c r="M93" s="295" t="s">
        <v>436</v>
      </c>
      <c r="N93" s="295" t="s">
        <v>436</v>
      </c>
      <c r="O93" s="295" t="s">
        <v>436</v>
      </c>
      <c r="P93" s="295" t="s">
        <v>436</v>
      </c>
      <c r="Q93" s="295" t="s">
        <v>436</v>
      </c>
      <c r="R93" s="295" t="s">
        <v>436</v>
      </c>
      <c r="S93" s="295" t="s">
        <v>436</v>
      </c>
      <c r="T93" s="295" t="s">
        <v>436</v>
      </c>
      <c r="U93" s="295" t="s">
        <v>436</v>
      </c>
      <c r="V93" s="295" t="s">
        <v>436</v>
      </c>
      <c r="W93" s="295" t="s">
        <v>436</v>
      </c>
      <c r="X93" s="295" t="s">
        <v>436</v>
      </c>
      <c r="Y93" s="295" t="s">
        <v>436</v>
      </c>
      <c r="Z93" s="295" t="s">
        <v>436</v>
      </c>
      <c r="AA93" s="252" t="s">
        <v>426</v>
      </c>
      <c r="AB93" s="295" t="s">
        <v>436</v>
      </c>
      <c r="AC93" s="295" t="s">
        <v>436</v>
      </c>
      <c r="AD93" s="295" t="s">
        <v>436</v>
      </c>
      <c r="AE93" s="295" t="s">
        <v>436</v>
      </c>
      <c r="AF93" s="295" t="s">
        <v>436</v>
      </c>
      <c r="AG93" s="295" t="s">
        <v>436</v>
      </c>
      <c r="AH93" s="115" t="s">
        <v>606</v>
      </c>
    </row>
    <row r="94" spans="1:36" x14ac:dyDescent="0.25">
      <c r="A94" s="240">
        <f t="shared" si="1"/>
        <v>89</v>
      </c>
      <c r="B94" s="90" t="s">
        <v>354</v>
      </c>
      <c r="C94" s="276" t="s">
        <v>476</v>
      </c>
      <c r="D94" s="300" t="s">
        <v>436</v>
      </c>
      <c r="E94" s="300" t="s">
        <v>436</v>
      </c>
      <c r="F94" s="300" t="s">
        <v>436</v>
      </c>
      <c r="G94" s="300" t="s">
        <v>436</v>
      </c>
      <c r="H94" s="300" t="s">
        <v>436</v>
      </c>
      <c r="I94" s="300" t="s">
        <v>436</v>
      </c>
      <c r="J94" s="300" t="s">
        <v>436</v>
      </c>
      <c r="K94" s="300" t="s">
        <v>436</v>
      </c>
      <c r="L94" s="300" t="s">
        <v>436</v>
      </c>
      <c r="M94" s="300" t="s">
        <v>436</v>
      </c>
      <c r="N94" s="300" t="s">
        <v>436</v>
      </c>
      <c r="O94" s="300" t="s">
        <v>436</v>
      </c>
      <c r="P94" s="300" t="s">
        <v>436</v>
      </c>
      <c r="Q94" s="300" t="s">
        <v>436</v>
      </c>
      <c r="R94" s="300" t="s">
        <v>436</v>
      </c>
      <c r="S94" s="300" t="s">
        <v>436</v>
      </c>
      <c r="T94" s="300" t="s">
        <v>436</v>
      </c>
      <c r="U94" s="300" t="s">
        <v>436</v>
      </c>
      <c r="V94" s="300" t="s">
        <v>436</v>
      </c>
      <c r="W94" s="300" t="s">
        <v>436</v>
      </c>
      <c r="X94" s="300" t="s">
        <v>436</v>
      </c>
      <c r="Y94" s="300" t="s">
        <v>436</v>
      </c>
      <c r="Z94" s="300" t="s">
        <v>436</v>
      </c>
      <c r="AA94" s="300" t="s">
        <v>436</v>
      </c>
      <c r="AB94" s="300" t="s">
        <v>436</v>
      </c>
      <c r="AC94" s="300" t="s">
        <v>436</v>
      </c>
      <c r="AD94" s="300" t="s">
        <v>436</v>
      </c>
      <c r="AE94" s="300" t="s">
        <v>436</v>
      </c>
      <c r="AF94" s="300" t="s">
        <v>436</v>
      </c>
      <c r="AG94" s="300" t="s">
        <v>436</v>
      </c>
      <c r="AH94" s="117" t="s">
        <v>584</v>
      </c>
    </row>
    <row r="95" spans="1:36" x14ac:dyDescent="0.25">
      <c r="A95" s="240">
        <f t="shared" si="1"/>
        <v>90</v>
      </c>
      <c r="B95" s="301" t="s">
        <v>560</v>
      </c>
      <c r="C95" s="302" t="s">
        <v>608</v>
      </c>
      <c r="D95" s="300" t="s">
        <v>436</v>
      </c>
      <c r="E95" s="300" t="s">
        <v>436</v>
      </c>
      <c r="F95" s="300" t="s">
        <v>436</v>
      </c>
      <c r="G95" s="300" t="s">
        <v>436</v>
      </c>
      <c r="H95" s="300" t="s">
        <v>436</v>
      </c>
      <c r="I95" s="300" t="s">
        <v>436</v>
      </c>
      <c r="J95" s="300" t="s">
        <v>436</v>
      </c>
      <c r="K95" s="300" t="s">
        <v>436</v>
      </c>
      <c r="L95" s="300" t="s">
        <v>436</v>
      </c>
      <c r="M95" s="300" t="s">
        <v>436</v>
      </c>
      <c r="N95" s="300" t="s">
        <v>436</v>
      </c>
      <c r="O95" s="300" t="s">
        <v>436</v>
      </c>
      <c r="P95" s="300" t="s">
        <v>436</v>
      </c>
      <c r="Q95" s="300" t="s">
        <v>436</v>
      </c>
      <c r="R95" s="300" t="s">
        <v>436</v>
      </c>
      <c r="S95" s="300" t="s">
        <v>436</v>
      </c>
      <c r="T95" s="300" t="s">
        <v>436</v>
      </c>
      <c r="U95" s="300" t="s">
        <v>436</v>
      </c>
      <c r="V95" s="300" t="s">
        <v>436</v>
      </c>
      <c r="W95" s="300" t="s">
        <v>436</v>
      </c>
      <c r="X95" s="300" t="s">
        <v>436</v>
      </c>
      <c r="Y95" s="300" t="s">
        <v>436</v>
      </c>
      <c r="Z95" s="300" t="s">
        <v>436</v>
      </c>
      <c r="AA95" s="300" t="s">
        <v>436</v>
      </c>
      <c r="AB95" s="300" t="s">
        <v>436</v>
      </c>
      <c r="AC95" s="300" t="s">
        <v>436</v>
      </c>
      <c r="AD95" s="300" t="s">
        <v>436</v>
      </c>
      <c r="AE95" s="300" t="s">
        <v>436</v>
      </c>
      <c r="AF95" s="300" t="s">
        <v>436</v>
      </c>
      <c r="AG95" s="300" t="s">
        <v>436</v>
      </c>
      <c r="AH95" s="117" t="s">
        <v>584</v>
      </c>
    </row>
    <row r="96" spans="1:36" x14ac:dyDescent="0.25">
      <c r="A96" s="240">
        <f t="shared" si="1"/>
        <v>91</v>
      </c>
      <c r="B96" s="301" t="s">
        <v>562</v>
      </c>
      <c r="C96" s="302" t="s">
        <v>563</v>
      </c>
      <c r="D96" s="300" t="s">
        <v>436</v>
      </c>
      <c r="E96" s="300" t="s">
        <v>436</v>
      </c>
      <c r="F96" s="300" t="s">
        <v>436</v>
      </c>
      <c r="G96" s="300" t="s">
        <v>436</v>
      </c>
      <c r="H96" s="300" t="s">
        <v>436</v>
      </c>
      <c r="I96" s="300" t="s">
        <v>436</v>
      </c>
      <c r="J96" s="300" t="s">
        <v>436</v>
      </c>
      <c r="K96" s="300" t="s">
        <v>436</v>
      </c>
      <c r="L96" s="300" t="s">
        <v>436</v>
      </c>
      <c r="M96" s="300" t="s">
        <v>436</v>
      </c>
      <c r="N96" s="300" t="s">
        <v>436</v>
      </c>
      <c r="O96" s="300" t="s">
        <v>436</v>
      </c>
      <c r="P96" s="300" t="s">
        <v>436</v>
      </c>
      <c r="Q96" s="300" t="s">
        <v>436</v>
      </c>
      <c r="R96" s="300" t="s">
        <v>436</v>
      </c>
      <c r="S96" s="300" t="s">
        <v>436</v>
      </c>
      <c r="T96" s="300" t="s">
        <v>436</v>
      </c>
      <c r="U96" s="300" t="s">
        <v>436</v>
      </c>
      <c r="V96" s="300" t="s">
        <v>436</v>
      </c>
      <c r="W96" s="300" t="s">
        <v>436</v>
      </c>
      <c r="X96" s="300" t="s">
        <v>436</v>
      </c>
      <c r="Y96" s="300" t="s">
        <v>436</v>
      </c>
      <c r="Z96" s="300" t="s">
        <v>436</v>
      </c>
      <c r="AA96" s="300" t="s">
        <v>436</v>
      </c>
      <c r="AB96" s="300" t="s">
        <v>436</v>
      </c>
      <c r="AC96" s="300" t="s">
        <v>436</v>
      </c>
      <c r="AD96" s="300" t="s">
        <v>436</v>
      </c>
      <c r="AE96" s="300" t="s">
        <v>436</v>
      </c>
      <c r="AF96" s="300" t="s">
        <v>436</v>
      </c>
      <c r="AG96" s="300" t="s">
        <v>436</v>
      </c>
      <c r="AH96" s="117" t="s">
        <v>584</v>
      </c>
    </row>
    <row r="97" spans="1:36" x14ac:dyDescent="0.25">
      <c r="A97" s="240">
        <f t="shared" si="1"/>
        <v>92</v>
      </c>
      <c r="B97" s="301" t="s">
        <v>564</v>
      </c>
      <c r="C97" s="303" t="s">
        <v>565</v>
      </c>
      <c r="D97" s="300" t="s">
        <v>436</v>
      </c>
      <c r="E97" s="300" t="s">
        <v>436</v>
      </c>
      <c r="F97" s="300" t="s">
        <v>436</v>
      </c>
      <c r="G97" s="300" t="s">
        <v>436</v>
      </c>
      <c r="H97" s="300" t="s">
        <v>436</v>
      </c>
      <c r="I97" s="300" t="s">
        <v>436</v>
      </c>
      <c r="J97" s="300" t="s">
        <v>436</v>
      </c>
      <c r="K97" s="300" t="s">
        <v>436</v>
      </c>
      <c r="L97" s="300" t="s">
        <v>436</v>
      </c>
      <c r="M97" s="300" t="s">
        <v>436</v>
      </c>
      <c r="N97" s="300" t="s">
        <v>436</v>
      </c>
      <c r="O97" s="300" t="s">
        <v>436</v>
      </c>
      <c r="P97" s="300" t="s">
        <v>436</v>
      </c>
      <c r="Q97" s="300" t="s">
        <v>436</v>
      </c>
      <c r="R97" s="300" t="s">
        <v>436</v>
      </c>
      <c r="S97" s="300" t="s">
        <v>436</v>
      </c>
      <c r="T97" s="300" t="s">
        <v>436</v>
      </c>
      <c r="U97" s="300" t="s">
        <v>436</v>
      </c>
      <c r="V97" s="300" t="s">
        <v>436</v>
      </c>
      <c r="W97" s="300" t="s">
        <v>436</v>
      </c>
      <c r="X97" s="300" t="s">
        <v>436</v>
      </c>
      <c r="Y97" s="300" t="s">
        <v>436</v>
      </c>
      <c r="Z97" s="300" t="s">
        <v>436</v>
      </c>
      <c r="AA97" s="300" t="s">
        <v>436</v>
      </c>
      <c r="AB97" s="300" t="s">
        <v>436</v>
      </c>
      <c r="AC97" s="300" t="s">
        <v>436</v>
      </c>
      <c r="AD97" s="300" t="s">
        <v>436</v>
      </c>
      <c r="AE97" s="300" t="s">
        <v>436</v>
      </c>
      <c r="AF97" s="300" t="s">
        <v>436</v>
      </c>
      <c r="AG97" s="300" t="s">
        <v>436</v>
      </c>
      <c r="AH97" s="117" t="s">
        <v>584</v>
      </c>
    </row>
    <row r="98" spans="1:36" x14ac:dyDescent="0.25">
      <c r="A98" s="240">
        <f t="shared" si="1"/>
        <v>93</v>
      </c>
      <c r="B98" s="301" t="s">
        <v>566</v>
      </c>
      <c r="C98" s="302" t="s">
        <v>567</v>
      </c>
      <c r="D98" s="300" t="s">
        <v>436</v>
      </c>
      <c r="E98" s="300" t="s">
        <v>436</v>
      </c>
      <c r="F98" s="300" t="s">
        <v>436</v>
      </c>
      <c r="G98" s="300" t="s">
        <v>436</v>
      </c>
      <c r="H98" s="300" t="s">
        <v>436</v>
      </c>
      <c r="I98" s="300" t="s">
        <v>436</v>
      </c>
      <c r="J98" s="300" t="s">
        <v>436</v>
      </c>
      <c r="K98" s="300" t="s">
        <v>436</v>
      </c>
      <c r="L98" s="300" t="s">
        <v>436</v>
      </c>
      <c r="M98" s="300" t="s">
        <v>436</v>
      </c>
      <c r="N98" s="300" t="s">
        <v>436</v>
      </c>
      <c r="O98" s="300" t="s">
        <v>436</v>
      </c>
      <c r="P98" s="300" t="s">
        <v>436</v>
      </c>
      <c r="Q98" s="300" t="s">
        <v>436</v>
      </c>
      <c r="R98" s="300" t="s">
        <v>436</v>
      </c>
      <c r="S98" s="300" t="s">
        <v>436</v>
      </c>
      <c r="T98" s="300" t="s">
        <v>436</v>
      </c>
      <c r="U98" s="300" t="s">
        <v>436</v>
      </c>
      <c r="V98" s="300" t="s">
        <v>436</v>
      </c>
      <c r="W98" s="300" t="s">
        <v>436</v>
      </c>
      <c r="X98" s="300" t="s">
        <v>436</v>
      </c>
      <c r="Y98" s="300" t="s">
        <v>436</v>
      </c>
      <c r="Z98" s="300" t="s">
        <v>436</v>
      </c>
      <c r="AA98" s="300" t="s">
        <v>436</v>
      </c>
      <c r="AB98" s="300" t="s">
        <v>436</v>
      </c>
      <c r="AC98" s="300" t="s">
        <v>436</v>
      </c>
      <c r="AD98" s="300" t="s">
        <v>436</v>
      </c>
      <c r="AE98" s="300" t="s">
        <v>436</v>
      </c>
      <c r="AF98" s="300" t="s">
        <v>436</v>
      </c>
      <c r="AG98" s="300" t="s">
        <v>436</v>
      </c>
      <c r="AH98" s="117" t="s">
        <v>584</v>
      </c>
    </row>
    <row r="99" spans="1:36" x14ac:dyDescent="0.25">
      <c r="A99" s="240">
        <f t="shared" si="1"/>
        <v>94</v>
      </c>
      <c r="B99" s="90" t="s">
        <v>169</v>
      </c>
      <c r="C99" s="276" t="s">
        <v>481</v>
      </c>
      <c r="D99" s="300" t="s">
        <v>436</v>
      </c>
      <c r="E99" s="300" t="s">
        <v>436</v>
      </c>
      <c r="F99" s="300" t="s">
        <v>436</v>
      </c>
      <c r="G99" s="300" t="s">
        <v>436</v>
      </c>
      <c r="H99" s="300" t="s">
        <v>436</v>
      </c>
      <c r="I99" s="300" t="s">
        <v>436</v>
      </c>
      <c r="J99" s="300" t="s">
        <v>436</v>
      </c>
      <c r="K99" s="300" t="s">
        <v>436</v>
      </c>
      <c r="L99" s="300" t="s">
        <v>436</v>
      </c>
      <c r="M99" s="300" t="s">
        <v>436</v>
      </c>
      <c r="N99" s="300" t="s">
        <v>436</v>
      </c>
      <c r="O99" s="300" t="s">
        <v>436</v>
      </c>
      <c r="P99" s="300" t="s">
        <v>436</v>
      </c>
      <c r="Q99" s="300" t="s">
        <v>436</v>
      </c>
      <c r="R99" s="300" t="s">
        <v>436</v>
      </c>
      <c r="S99" s="300" t="s">
        <v>436</v>
      </c>
      <c r="T99" s="300" t="s">
        <v>436</v>
      </c>
      <c r="U99" s="300" t="s">
        <v>436</v>
      </c>
      <c r="V99" s="300" t="s">
        <v>436</v>
      </c>
      <c r="W99" s="300" t="s">
        <v>436</v>
      </c>
      <c r="X99" s="300" t="s">
        <v>436</v>
      </c>
      <c r="Y99" s="300" t="s">
        <v>436</v>
      </c>
      <c r="Z99" s="300" t="s">
        <v>436</v>
      </c>
      <c r="AA99" s="300" t="s">
        <v>436</v>
      </c>
      <c r="AB99" s="300" t="s">
        <v>436</v>
      </c>
      <c r="AC99" s="300" t="s">
        <v>436</v>
      </c>
      <c r="AD99" s="300" t="s">
        <v>436</v>
      </c>
      <c r="AE99" s="300" t="s">
        <v>436</v>
      </c>
      <c r="AF99" s="300" t="s">
        <v>436</v>
      </c>
      <c r="AG99" s="300" t="s">
        <v>436</v>
      </c>
      <c r="AH99" s="117" t="s">
        <v>584</v>
      </c>
    </row>
    <row r="100" spans="1:36" x14ac:dyDescent="0.25">
      <c r="A100" s="240">
        <f t="shared" si="1"/>
        <v>95</v>
      </c>
      <c r="B100" s="75" t="s">
        <v>200</v>
      </c>
      <c r="C100" s="304" t="s">
        <v>201</v>
      </c>
      <c r="D100" s="300" t="s">
        <v>436</v>
      </c>
      <c r="E100" s="300" t="s">
        <v>436</v>
      </c>
      <c r="F100" s="300" t="s">
        <v>436</v>
      </c>
      <c r="G100" s="300" t="s">
        <v>436</v>
      </c>
      <c r="H100" s="300" t="s">
        <v>436</v>
      </c>
      <c r="I100" s="300" t="s">
        <v>436</v>
      </c>
      <c r="J100" s="300" t="s">
        <v>436</v>
      </c>
      <c r="K100" s="300" t="s">
        <v>436</v>
      </c>
      <c r="L100" s="300" t="s">
        <v>436</v>
      </c>
      <c r="M100" s="300" t="s">
        <v>436</v>
      </c>
      <c r="N100" s="300" t="s">
        <v>436</v>
      </c>
      <c r="O100" s="300" t="s">
        <v>436</v>
      </c>
      <c r="P100" s="300" t="s">
        <v>436</v>
      </c>
      <c r="Q100" s="300" t="s">
        <v>436</v>
      </c>
      <c r="R100" s="300" t="s">
        <v>436</v>
      </c>
      <c r="S100" s="300" t="s">
        <v>436</v>
      </c>
      <c r="T100" s="300" t="s">
        <v>436</v>
      </c>
      <c r="U100" s="300" t="s">
        <v>436</v>
      </c>
      <c r="V100" s="300" t="s">
        <v>436</v>
      </c>
      <c r="W100" s="300" t="s">
        <v>436</v>
      </c>
      <c r="X100" s="300" t="s">
        <v>436</v>
      </c>
      <c r="Y100" s="300" t="s">
        <v>436</v>
      </c>
      <c r="Z100" s="300" t="s">
        <v>436</v>
      </c>
      <c r="AA100" s="258" t="s">
        <v>442</v>
      </c>
      <c r="AB100" s="300" t="s">
        <v>436</v>
      </c>
      <c r="AC100" s="300" t="s">
        <v>436</v>
      </c>
      <c r="AD100" s="300" t="s">
        <v>436</v>
      </c>
      <c r="AE100" s="300" t="s">
        <v>436</v>
      </c>
      <c r="AF100" s="300" t="s">
        <v>436</v>
      </c>
      <c r="AG100" s="300" t="s">
        <v>436</v>
      </c>
      <c r="AH100" s="117" t="s">
        <v>584</v>
      </c>
    </row>
    <row r="101" spans="1:36" ht="15.75" x14ac:dyDescent="0.25">
      <c r="A101" s="240">
        <f t="shared" si="1"/>
        <v>96</v>
      </c>
      <c r="B101" s="305">
        <v>245</v>
      </c>
      <c r="C101" s="91" t="s">
        <v>497</v>
      </c>
      <c r="D101" s="293" t="s">
        <v>436</v>
      </c>
      <c r="E101" s="293" t="s">
        <v>436</v>
      </c>
      <c r="F101" s="293" t="s">
        <v>436</v>
      </c>
      <c r="G101" s="293" t="s">
        <v>436</v>
      </c>
      <c r="H101" s="293" t="s">
        <v>436</v>
      </c>
      <c r="I101" s="293" t="s">
        <v>436</v>
      </c>
      <c r="J101" s="306"/>
      <c r="K101" s="293" t="s">
        <v>436</v>
      </c>
      <c r="L101" s="293" t="s">
        <v>436</v>
      </c>
      <c r="M101" s="293" t="s">
        <v>436</v>
      </c>
      <c r="N101" s="293" t="s">
        <v>436</v>
      </c>
      <c r="O101" s="293" t="s">
        <v>436</v>
      </c>
      <c r="P101" s="293" t="s">
        <v>436</v>
      </c>
      <c r="Q101" s="306"/>
      <c r="R101" s="306"/>
      <c r="S101" s="293" t="s">
        <v>436</v>
      </c>
      <c r="T101" s="293" t="s">
        <v>436</v>
      </c>
      <c r="U101" s="293" t="s">
        <v>436</v>
      </c>
      <c r="V101" s="293" t="s">
        <v>436</v>
      </c>
      <c r="W101" s="293" t="s">
        <v>436</v>
      </c>
      <c r="X101" s="306"/>
      <c r="Y101" s="293" t="s">
        <v>436</v>
      </c>
      <c r="Z101" s="293" t="s">
        <v>436</v>
      </c>
      <c r="AA101" s="293" t="s">
        <v>436</v>
      </c>
      <c r="AB101" s="293" t="s">
        <v>436</v>
      </c>
      <c r="AC101" s="293" t="s">
        <v>436</v>
      </c>
      <c r="AD101" s="293" t="s">
        <v>436</v>
      </c>
      <c r="AE101" s="306"/>
      <c r="AF101" s="293" t="s">
        <v>436</v>
      </c>
      <c r="AG101" s="293" t="s">
        <v>436</v>
      </c>
      <c r="AH101" s="117" t="s">
        <v>609</v>
      </c>
    </row>
    <row r="102" spans="1:36" x14ac:dyDescent="0.25">
      <c r="A102" s="118">
        <f t="shared" si="1"/>
        <v>97</v>
      </c>
      <c r="B102" s="307">
        <v>265</v>
      </c>
      <c r="C102" s="92" t="s">
        <v>485</v>
      </c>
      <c r="D102" s="293" t="s">
        <v>436</v>
      </c>
      <c r="E102" s="293" t="s">
        <v>436</v>
      </c>
      <c r="F102" s="293" t="s">
        <v>436</v>
      </c>
      <c r="G102" s="293" t="s">
        <v>436</v>
      </c>
      <c r="H102" s="293" t="s">
        <v>436</v>
      </c>
      <c r="I102" s="293" t="s">
        <v>436</v>
      </c>
      <c r="J102" s="306"/>
      <c r="K102" s="293" t="s">
        <v>436</v>
      </c>
      <c r="L102" s="293" t="s">
        <v>436</v>
      </c>
      <c r="M102" s="293" t="s">
        <v>436</v>
      </c>
      <c r="N102" s="293" t="s">
        <v>436</v>
      </c>
      <c r="O102" s="293" t="s">
        <v>436</v>
      </c>
      <c r="P102" s="293" t="s">
        <v>436</v>
      </c>
      <c r="Q102" s="306"/>
      <c r="R102" s="306"/>
      <c r="S102" s="293" t="s">
        <v>436</v>
      </c>
      <c r="T102" s="293" t="s">
        <v>436</v>
      </c>
      <c r="U102" s="293" t="s">
        <v>436</v>
      </c>
      <c r="V102" s="293" t="s">
        <v>436</v>
      </c>
      <c r="W102" s="293" t="s">
        <v>436</v>
      </c>
      <c r="X102" s="306"/>
      <c r="Y102" s="293" t="s">
        <v>436</v>
      </c>
      <c r="Z102" s="293" t="s">
        <v>436</v>
      </c>
      <c r="AA102" s="293" t="s">
        <v>436</v>
      </c>
      <c r="AB102" s="293" t="s">
        <v>436</v>
      </c>
      <c r="AC102" s="293" t="s">
        <v>436</v>
      </c>
      <c r="AD102" s="293" t="s">
        <v>436</v>
      </c>
      <c r="AE102" s="306"/>
      <c r="AF102" s="293" t="s">
        <v>436</v>
      </c>
      <c r="AG102" s="293" t="s">
        <v>436</v>
      </c>
      <c r="AH102" s="117" t="s">
        <v>609</v>
      </c>
    </row>
    <row r="103" spans="1:36" x14ac:dyDescent="0.25">
      <c r="A103" s="240">
        <f t="shared" si="1"/>
        <v>98</v>
      </c>
      <c r="B103" s="308">
        <v>662</v>
      </c>
      <c r="C103" s="91" t="s">
        <v>75</v>
      </c>
      <c r="D103" s="293" t="s">
        <v>436</v>
      </c>
      <c r="E103" s="293" t="s">
        <v>436</v>
      </c>
      <c r="F103" s="293" t="s">
        <v>436</v>
      </c>
      <c r="G103" s="293" t="s">
        <v>436</v>
      </c>
      <c r="H103" s="293" t="s">
        <v>436</v>
      </c>
      <c r="I103" s="293" t="s">
        <v>436</v>
      </c>
      <c r="J103" s="306"/>
      <c r="K103" s="293" t="s">
        <v>436</v>
      </c>
      <c r="L103" s="293" t="s">
        <v>436</v>
      </c>
      <c r="M103" s="293" t="s">
        <v>436</v>
      </c>
      <c r="N103" s="293" t="s">
        <v>436</v>
      </c>
      <c r="O103" s="293" t="s">
        <v>436</v>
      </c>
      <c r="P103" s="293" t="s">
        <v>436</v>
      </c>
      <c r="Q103" s="306"/>
      <c r="R103" s="306"/>
      <c r="S103" s="293" t="s">
        <v>436</v>
      </c>
      <c r="T103" s="293" t="s">
        <v>436</v>
      </c>
      <c r="U103" s="293" t="s">
        <v>436</v>
      </c>
      <c r="V103" s="293" t="s">
        <v>436</v>
      </c>
      <c r="W103" s="293" t="s">
        <v>436</v>
      </c>
      <c r="X103" s="306"/>
      <c r="Y103" s="293" t="s">
        <v>436</v>
      </c>
      <c r="Z103" s="293" t="s">
        <v>436</v>
      </c>
      <c r="AA103" s="293" t="s">
        <v>436</v>
      </c>
      <c r="AB103" s="293" t="s">
        <v>436</v>
      </c>
      <c r="AC103" s="293" t="s">
        <v>436</v>
      </c>
      <c r="AD103" s="293" t="s">
        <v>436</v>
      </c>
      <c r="AE103" s="306"/>
      <c r="AF103" s="293" t="s">
        <v>436</v>
      </c>
      <c r="AG103" s="293" t="s">
        <v>436</v>
      </c>
      <c r="AH103" s="117" t="s">
        <v>609</v>
      </c>
    </row>
    <row r="104" spans="1:36" x14ac:dyDescent="0.25">
      <c r="A104" s="240">
        <f t="shared" si="1"/>
        <v>99</v>
      </c>
      <c r="B104" s="308">
        <v>704</v>
      </c>
      <c r="C104" s="91" t="s">
        <v>486</v>
      </c>
      <c r="D104" s="293" t="s">
        <v>436</v>
      </c>
      <c r="E104" s="293" t="s">
        <v>436</v>
      </c>
      <c r="F104" s="293" t="s">
        <v>436</v>
      </c>
      <c r="G104" s="293" t="s">
        <v>436</v>
      </c>
      <c r="H104" s="309" t="s">
        <v>532</v>
      </c>
      <c r="I104" s="293" t="s">
        <v>436</v>
      </c>
      <c r="J104" s="293" t="s">
        <v>436</v>
      </c>
      <c r="K104" s="293" t="s">
        <v>436</v>
      </c>
      <c r="L104" s="293" t="s">
        <v>436</v>
      </c>
      <c r="M104" s="293" t="s">
        <v>436</v>
      </c>
      <c r="N104" s="293" t="s">
        <v>436</v>
      </c>
      <c r="O104" s="309" t="s">
        <v>532</v>
      </c>
      <c r="P104" s="293" t="s">
        <v>436</v>
      </c>
      <c r="Q104" s="306"/>
      <c r="R104" s="306"/>
      <c r="S104" s="293" t="s">
        <v>436</v>
      </c>
      <c r="T104" s="293" t="s">
        <v>436</v>
      </c>
      <c r="U104" s="293" t="s">
        <v>436</v>
      </c>
      <c r="V104" s="293" t="s">
        <v>436</v>
      </c>
      <c r="W104" s="293" t="s">
        <v>436</v>
      </c>
      <c r="X104" s="309" t="s">
        <v>532</v>
      </c>
      <c r="Y104" s="293" t="s">
        <v>436</v>
      </c>
      <c r="Z104" s="293" t="s">
        <v>436</v>
      </c>
      <c r="AA104" s="293" t="s">
        <v>436</v>
      </c>
      <c r="AB104" s="293" t="s">
        <v>436</v>
      </c>
      <c r="AC104" s="293" t="s">
        <v>436</v>
      </c>
      <c r="AD104" s="293" t="s">
        <v>436</v>
      </c>
      <c r="AE104" s="309" t="s">
        <v>532</v>
      </c>
      <c r="AF104" s="293" t="s">
        <v>436</v>
      </c>
      <c r="AG104" s="293" t="s">
        <v>436</v>
      </c>
      <c r="AH104" s="117" t="s">
        <v>609</v>
      </c>
      <c r="AI104" s="260"/>
      <c r="AJ104" s="260"/>
    </row>
    <row r="105" spans="1:36" s="73" customFormat="1" ht="15.75" x14ac:dyDescent="0.25">
      <c r="A105" s="240">
        <f t="shared" si="1"/>
        <v>100</v>
      </c>
      <c r="B105" s="305">
        <v>790</v>
      </c>
      <c r="C105" s="91" t="s">
        <v>89</v>
      </c>
      <c r="D105" s="293" t="s">
        <v>436</v>
      </c>
      <c r="E105" s="293" t="s">
        <v>436</v>
      </c>
      <c r="F105" s="293" t="s">
        <v>436</v>
      </c>
      <c r="G105" s="293" t="s">
        <v>436</v>
      </c>
      <c r="H105" s="293" t="s">
        <v>436</v>
      </c>
      <c r="I105" s="293" t="s">
        <v>436</v>
      </c>
      <c r="J105" s="306"/>
      <c r="K105" s="293" t="s">
        <v>436</v>
      </c>
      <c r="L105" s="293" t="s">
        <v>436</v>
      </c>
      <c r="M105" s="293" t="s">
        <v>436</v>
      </c>
      <c r="N105" s="293" t="s">
        <v>436</v>
      </c>
      <c r="O105" s="293" t="s">
        <v>436</v>
      </c>
      <c r="P105" s="293" t="s">
        <v>436</v>
      </c>
      <c r="Q105" s="306"/>
      <c r="R105" s="306"/>
      <c r="S105" s="293" t="s">
        <v>436</v>
      </c>
      <c r="T105" s="293" t="s">
        <v>436</v>
      </c>
      <c r="U105" s="293" t="s">
        <v>436</v>
      </c>
      <c r="V105" s="293" t="s">
        <v>436</v>
      </c>
      <c r="W105" s="293" t="s">
        <v>436</v>
      </c>
      <c r="X105" s="306"/>
      <c r="Y105" s="293" t="s">
        <v>436</v>
      </c>
      <c r="Z105" s="293" t="s">
        <v>436</v>
      </c>
      <c r="AA105" s="293" t="s">
        <v>436</v>
      </c>
      <c r="AB105" s="293" t="s">
        <v>436</v>
      </c>
      <c r="AC105" s="293" t="s">
        <v>436</v>
      </c>
      <c r="AD105" s="293" t="s">
        <v>436</v>
      </c>
      <c r="AE105" s="306"/>
      <c r="AF105" s="293" t="s">
        <v>436</v>
      </c>
      <c r="AG105" s="293" t="s">
        <v>436</v>
      </c>
      <c r="AH105" s="117" t="s">
        <v>609</v>
      </c>
    </row>
    <row r="106" spans="1:36" x14ac:dyDescent="0.25">
      <c r="A106" s="240">
        <f t="shared" si="1"/>
        <v>101</v>
      </c>
      <c r="B106" s="292">
        <v>814</v>
      </c>
      <c r="C106" s="92" t="s">
        <v>91</v>
      </c>
      <c r="D106" s="293" t="s">
        <v>436</v>
      </c>
      <c r="E106" s="293" t="s">
        <v>436</v>
      </c>
      <c r="F106" s="293" t="s">
        <v>436</v>
      </c>
      <c r="G106" s="293" t="s">
        <v>436</v>
      </c>
      <c r="H106" s="293" t="s">
        <v>436</v>
      </c>
      <c r="I106" s="293" t="s">
        <v>436</v>
      </c>
      <c r="J106" s="306"/>
      <c r="K106" s="293" t="s">
        <v>436</v>
      </c>
      <c r="L106" s="293" t="s">
        <v>436</v>
      </c>
      <c r="M106" s="293" t="s">
        <v>436</v>
      </c>
      <c r="N106" s="293" t="s">
        <v>436</v>
      </c>
      <c r="O106" s="293" t="s">
        <v>436</v>
      </c>
      <c r="P106" s="293" t="s">
        <v>436</v>
      </c>
      <c r="Q106" s="306"/>
      <c r="R106" s="306"/>
      <c r="S106" s="293" t="s">
        <v>436</v>
      </c>
      <c r="T106" s="293" t="s">
        <v>436</v>
      </c>
      <c r="U106" s="293" t="s">
        <v>436</v>
      </c>
      <c r="V106" s="293" t="s">
        <v>436</v>
      </c>
      <c r="W106" s="293" t="s">
        <v>436</v>
      </c>
      <c r="X106" s="306"/>
      <c r="Y106" s="293" t="s">
        <v>436</v>
      </c>
      <c r="Z106" s="293" t="s">
        <v>436</v>
      </c>
      <c r="AA106" s="293" t="s">
        <v>436</v>
      </c>
      <c r="AB106" s="293" t="s">
        <v>436</v>
      </c>
      <c r="AC106" s="293" t="s">
        <v>436</v>
      </c>
      <c r="AD106" s="293" t="s">
        <v>436</v>
      </c>
      <c r="AE106" s="306"/>
      <c r="AF106" s="293" t="s">
        <v>436</v>
      </c>
      <c r="AG106" s="293" t="s">
        <v>436</v>
      </c>
      <c r="AH106" s="117" t="s">
        <v>609</v>
      </c>
    </row>
    <row r="107" spans="1:36" x14ac:dyDescent="0.25">
      <c r="A107" s="240">
        <f t="shared" si="1"/>
        <v>102</v>
      </c>
      <c r="B107" s="292">
        <v>840</v>
      </c>
      <c r="C107" s="310" t="s">
        <v>101</v>
      </c>
      <c r="D107" s="293" t="s">
        <v>436</v>
      </c>
      <c r="E107" s="293" t="s">
        <v>436</v>
      </c>
      <c r="F107" s="293" t="s">
        <v>436</v>
      </c>
      <c r="G107" s="293" t="s">
        <v>436</v>
      </c>
      <c r="H107" s="293" t="s">
        <v>436</v>
      </c>
      <c r="I107" s="293" t="s">
        <v>436</v>
      </c>
      <c r="J107" s="306"/>
      <c r="K107" s="293" t="s">
        <v>436</v>
      </c>
      <c r="L107" s="293" t="s">
        <v>436</v>
      </c>
      <c r="M107" s="293" t="s">
        <v>436</v>
      </c>
      <c r="N107" s="293" t="s">
        <v>436</v>
      </c>
      <c r="O107" s="293" t="s">
        <v>436</v>
      </c>
      <c r="P107" s="293" t="s">
        <v>436</v>
      </c>
      <c r="Q107" s="306"/>
      <c r="R107" s="306"/>
      <c r="S107" s="293" t="s">
        <v>436</v>
      </c>
      <c r="T107" s="293" t="s">
        <v>436</v>
      </c>
      <c r="U107" s="293" t="s">
        <v>436</v>
      </c>
      <c r="V107" s="293" t="s">
        <v>436</v>
      </c>
      <c r="W107" s="293" t="s">
        <v>436</v>
      </c>
      <c r="X107" s="306"/>
      <c r="Y107" s="293" t="s">
        <v>436</v>
      </c>
      <c r="Z107" s="293" t="s">
        <v>436</v>
      </c>
      <c r="AA107" s="293" t="s">
        <v>436</v>
      </c>
      <c r="AB107" s="293" t="s">
        <v>436</v>
      </c>
      <c r="AC107" s="293" t="s">
        <v>436</v>
      </c>
      <c r="AD107" s="293" t="s">
        <v>436</v>
      </c>
      <c r="AE107" s="306"/>
      <c r="AF107" s="293" t="s">
        <v>436</v>
      </c>
      <c r="AG107" s="293" t="s">
        <v>436</v>
      </c>
      <c r="AH107" s="117" t="s">
        <v>609</v>
      </c>
      <c r="AI107" s="73"/>
      <c r="AJ107" s="73"/>
    </row>
    <row r="108" spans="1:36" x14ac:dyDescent="0.25">
      <c r="A108" s="240">
        <f t="shared" si="1"/>
        <v>103</v>
      </c>
      <c r="B108" s="307" t="s">
        <v>151</v>
      </c>
      <c r="C108" s="92" t="s">
        <v>477</v>
      </c>
      <c r="D108" s="293" t="s">
        <v>436</v>
      </c>
      <c r="E108" s="293" t="s">
        <v>436</v>
      </c>
      <c r="F108" s="293" t="s">
        <v>436</v>
      </c>
      <c r="G108" s="293" t="s">
        <v>436</v>
      </c>
      <c r="H108" s="293" t="s">
        <v>436</v>
      </c>
      <c r="I108" s="293" t="s">
        <v>436</v>
      </c>
      <c r="J108" s="306"/>
      <c r="K108" s="293" t="s">
        <v>436</v>
      </c>
      <c r="L108" s="258" t="s">
        <v>442</v>
      </c>
      <c r="M108" s="293" t="s">
        <v>436</v>
      </c>
      <c r="N108" s="293" t="s">
        <v>436</v>
      </c>
      <c r="O108" s="293" t="s">
        <v>436</v>
      </c>
      <c r="P108" s="293" t="s">
        <v>436</v>
      </c>
      <c r="Q108" s="306"/>
      <c r="R108" s="306"/>
      <c r="S108" s="293" t="s">
        <v>436</v>
      </c>
      <c r="T108" s="293" t="s">
        <v>436</v>
      </c>
      <c r="U108" s="293" t="s">
        <v>436</v>
      </c>
      <c r="V108" s="258" t="s">
        <v>442</v>
      </c>
      <c r="W108" s="293" t="s">
        <v>436</v>
      </c>
      <c r="X108" s="306"/>
      <c r="Y108" s="293" t="s">
        <v>436</v>
      </c>
      <c r="Z108" s="293" t="s">
        <v>436</v>
      </c>
      <c r="AA108" s="293" t="s">
        <v>436</v>
      </c>
      <c r="AB108" s="293" t="s">
        <v>436</v>
      </c>
      <c r="AC108" s="293" t="s">
        <v>436</v>
      </c>
      <c r="AD108" s="258" t="s">
        <v>442</v>
      </c>
      <c r="AE108" s="306"/>
      <c r="AF108" s="258" t="s">
        <v>442</v>
      </c>
      <c r="AG108" s="258" t="s">
        <v>442</v>
      </c>
      <c r="AH108" s="117" t="s">
        <v>609</v>
      </c>
    </row>
    <row r="109" spans="1:36" x14ac:dyDescent="0.25">
      <c r="A109" s="240">
        <f t="shared" si="1"/>
        <v>104</v>
      </c>
      <c r="B109" s="308" t="s">
        <v>162</v>
      </c>
      <c r="C109" s="91" t="s">
        <v>458</v>
      </c>
      <c r="D109" s="293" t="s">
        <v>436</v>
      </c>
      <c r="E109" s="293" t="s">
        <v>436</v>
      </c>
      <c r="F109" s="293" t="s">
        <v>436</v>
      </c>
      <c r="G109" s="293" t="s">
        <v>436</v>
      </c>
      <c r="H109" s="293" t="s">
        <v>436</v>
      </c>
      <c r="I109" s="293" t="s">
        <v>436</v>
      </c>
      <c r="J109" s="306"/>
      <c r="K109" s="293" t="s">
        <v>436</v>
      </c>
      <c r="L109" s="293" t="s">
        <v>436</v>
      </c>
      <c r="M109" s="293" t="s">
        <v>436</v>
      </c>
      <c r="N109" s="293" t="s">
        <v>436</v>
      </c>
      <c r="O109" s="293" t="s">
        <v>436</v>
      </c>
      <c r="P109" s="293" t="s">
        <v>436</v>
      </c>
      <c r="Q109" s="306"/>
      <c r="R109" s="306"/>
      <c r="S109" s="293" t="s">
        <v>436</v>
      </c>
      <c r="T109" s="293" t="s">
        <v>436</v>
      </c>
      <c r="U109" s="293" t="s">
        <v>436</v>
      </c>
      <c r="V109" s="293" t="s">
        <v>436</v>
      </c>
      <c r="W109" s="293" t="s">
        <v>436</v>
      </c>
      <c r="X109" s="306"/>
      <c r="Y109" s="293" t="s">
        <v>436</v>
      </c>
      <c r="Z109" s="293" t="s">
        <v>436</v>
      </c>
      <c r="AA109" s="293" t="s">
        <v>436</v>
      </c>
      <c r="AB109" s="293" t="s">
        <v>436</v>
      </c>
      <c r="AC109" s="293" t="s">
        <v>436</v>
      </c>
      <c r="AD109" s="293" t="s">
        <v>436</v>
      </c>
      <c r="AE109" s="306"/>
      <c r="AF109" s="293" t="s">
        <v>436</v>
      </c>
      <c r="AG109" s="293" t="s">
        <v>436</v>
      </c>
      <c r="AH109" s="117" t="s">
        <v>609</v>
      </c>
      <c r="AI109" s="260"/>
      <c r="AJ109" s="260"/>
    </row>
    <row r="110" spans="1:36" x14ac:dyDescent="0.25">
      <c r="A110" s="240">
        <f t="shared" si="1"/>
        <v>105</v>
      </c>
      <c r="B110" s="292" t="s">
        <v>352</v>
      </c>
      <c r="C110" s="92" t="s">
        <v>478</v>
      </c>
      <c r="D110" s="293" t="s">
        <v>436</v>
      </c>
      <c r="E110" s="293" t="s">
        <v>436</v>
      </c>
      <c r="F110" s="293" t="s">
        <v>436</v>
      </c>
      <c r="G110" s="293" t="s">
        <v>436</v>
      </c>
      <c r="H110" s="293" t="s">
        <v>436</v>
      </c>
      <c r="I110" s="293" t="s">
        <v>436</v>
      </c>
      <c r="J110" s="306"/>
      <c r="K110" s="258" t="s">
        <v>442</v>
      </c>
      <c r="L110" s="293" t="s">
        <v>436</v>
      </c>
      <c r="M110" s="293" t="s">
        <v>436</v>
      </c>
      <c r="N110" s="293" t="s">
        <v>436</v>
      </c>
      <c r="O110" s="293" t="s">
        <v>436</v>
      </c>
      <c r="P110" s="293" t="s">
        <v>436</v>
      </c>
      <c r="Q110" s="306"/>
      <c r="R110" s="306"/>
      <c r="S110" s="293" t="s">
        <v>436</v>
      </c>
      <c r="T110" s="293" t="s">
        <v>436</v>
      </c>
      <c r="U110" s="293" t="s">
        <v>436</v>
      </c>
      <c r="V110" s="293" t="s">
        <v>436</v>
      </c>
      <c r="W110" s="293" t="s">
        <v>436</v>
      </c>
      <c r="X110" s="306"/>
      <c r="Y110" s="293" t="s">
        <v>436</v>
      </c>
      <c r="Z110" s="293" t="s">
        <v>436</v>
      </c>
      <c r="AA110" s="293" t="s">
        <v>436</v>
      </c>
      <c r="AB110" s="293" t="s">
        <v>436</v>
      </c>
      <c r="AC110" s="293" t="s">
        <v>436</v>
      </c>
      <c r="AD110" s="293" t="s">
        <v>436</v>
      </c>
      <c r="AE110" s="306"/>
      <c r="AF110" s="293" t="s">
        <v>436</v>
      </c>
      <c r="AG110" s="293" t="s">
        <v>436</v>
      </c>
      <c r="AH110" s="117" t="s">
        <v>609</v>
      </c>
      <c r="AI110" s="260"/>
      <c r="AJ110" s="260"/>
    </row>
    <row r="111" spans="1:36" x14ac:dyDescent="0.25">
      <c r="A111" s="240">
        <f t="shared" si="1"/>
        <v>106</v>
      </c>
      <c r="B111" s="308" t="s">
        <v>356</v>
      </c>
      <c r="C111" s="91" t="s">
        <v>489</v>
      </c>
      <c r="D111" s="293" t="s">
        <v>436</v>
      </c>
      <c r="E111" s="293" t="s">
        <v>436</v>
      </c>
      <c r="F111" s="293" t="s">
        <v>436</v>
      </c>
      <c r="G111" s="293" t="s">
        <v>436</v>
      </c>
      <c r="H111" s="258" t="s">
        <v>442</v>
      </c>
      <c r="I111" s="293" t="s">
        <v>436</v>
      </c>
      <c r="J111" s="306"/>
      <c r="K111" s="293" t="s">
        <v>436</v>
      </c>
      <c r="L111" s="293" t="s">
        <v>436</v>
      </c>
      <c r="M111" s="293" t="s">
        <v>436</v>
      </c>
      <c r="N111" s="293" t="s">
        <v>436</v>
      </c>
      <c r="O111" s="293" t="s">
        <v>436</v>
      </c>
      <c r="P111" s="293" t="s">
        <v>436</v>
      </c>
      <c r="Q111" s="306"/>
      <c r="R111" s="306"/>
      <c r="S111" s="293" t="s">
        <v>436</v>
      </c>
      <c r="T111" s="293" t="s">
        <v>436</v>
      </c>
      <c r="U111" s="293" t="s">
        <v>436</v>
      </c>
      <c r="V111" s="293" t="s">
        <v>436</v>
      </c>
      <c r="W111" s="293" t="s">
        <v>436</v>
      </c>
      <c r="X111" s="306"/>
      <c r="Y111" s="293" t="s">
        <v>436</v>
      </c>
      <c r="Z111" s="293" t="s">
        <v>436</v>
      </c>
      <c r="AA111" s="293" t="s">
        <v>436</v>
      </c>
      <c r="AB111" s="293" t="s">
        <v>436</v>
      </c>
      <c r="AC111" s="293" t="s">
        <v>436</v>
      </c>
      <c r="AD111" s="293" t="s">
        <v>436</v>
      </c>
      <c r="AE111" s="306"/>
      <c r="AF111" s="293" t="s">
        <v>436</v>
      </c>
      <c r="AG111" s="293" t="s">
        <v>436</v>
      </c>
      <c r="AH111" s="117" t="s">
        <v>609</v>
      </c>
      <c r="AJ111" s="73"/>
    </row>
    <row r="112" spans="1:36" x14ac:dyDescent="0.25">
      <c r="A112" s="240">
        <f t="shared" si="1"/>
        <v>107</v>
      </c>
      <c r="B112" s="308" t="s">
        <v>368</v>
      </c>
      <c r="C112" s="91" t="s">
        <v>515</v>
      </c>
      <c r="D112" s="293" t="s">
        <v>436</v>
      </c>
      <c r="E112" s="293" t="s">
        <v>436</v>
      </c>
      <c r="F112" s="293" t="s">
        <v>436</v>
      </c>
      <c r="G112" s="293" t="s">
        <v>436</v>
      </c>
      <c r="H112" s="293" t="s">
        <v>436</v>
      </c>
      <c r="I112" s="293" t="s">
        <v>436</v>
      </c>
      <c r="J112" s="306"/>
      <c r="K112" s="293" t="s">
        <v>436</v>
      </c>
      <c r="L112" s="293" t="s">
        <v>436</v>
      </c>
      <c r="M112" s="293" t="s">
        <v>436</v>
      </c>
      <c r="N112" s="293" t="s">
        <v>436</v>
      </c>
      <c r="O112" s="293" t="s">
        <v>436</v>
      </c>
      <c r="P112" s="293" t="s">
        <v>436</v>
      </c>
      <c r="Q112" s="306"/>
      <c r="R112" s="306"/>
      <c r="S112" s="293" t="s">
        <v>436</v>
      </c>
      <c r="T112" s="293" t="s">
        <v>436</v>
      </c>
      <c r="U112" s="293" t="s">
        <v>436</v>
      </c>
      <c r="V112" s="293" t="s">
        <v>436</v>
      </c>
      <c r="W112" s="293" t="s">
        <v>436</v>
      </c>
      <c r="X112" s="306"/>
      <c r="Y112" s="293" t="s">
        <v>436</v>
      </c>
      <c r="Z112" s="293" t="s">
        <v>436</v>
      </c>
      <c r="AA112" s="293" t="s">
        <v>436</v>
      </c>
      <c r="AB112" s="293" t="s">
        <v>436</v>
      </c>
      <c r="AC112" s="293" t="s">
        <v>436</v>
      </c>
      <c r="AD112" s="293" t="s">
        <v>436</v>
      </c>
      <c r="AE112" s="306"/>
      <c r="AF112" s="293" t="s">
        <v>436</v>
      </c>
      <c r="AG112" s="293" t="s">
        <v>436</v>
      </c>
      <c r="AH112" s="117" t="s">
        <v>609</v>
      </c>
    </row>
    <row r="113" spans="1:36" x14ac:dyDescent="0.25">
      <c r="A113" s="240">
        <f t="shared" si="1"/>
        <v>108</v>
      </c>
      <c r="B113" s="308" t="s">
        <v>382</v>
      </c>
      <c r="C113" s="91" t="s">
        <v>475</v>
      </c>
      <c r="D113" s="293" t="s">
        <v>436</v>
      </c>
      <c r="E113" s="293" t="s">
        <v>436</v>
      </c>
      <c r="F113" s="293" t="s">
        <v>436</v>
      </c>
      <c r="G113" s="293" t="s">
        <v>436</v>
      </c>
      <c r="H113" s="309" t="s">
        <v>532</v>
      </c>
      <c r="I113" s="293" t="s">
        <v>436</v>
      </c>
      <c r="J113" s="293" t="s">
        <v>436</v>
      </c>
      <c r="K113" s="293" t="s">
        <v>436</v>
      </c>
      <c r="L113" s="293" t="s">
        <v>436</v>
      </c>
      <c r="M113" s="293" t="s">
        <v>436</v>
      </c>
      <c r="N113" s="293" t="s">
        <v>436</v>
      </c>
      <c r="O113" s="309" t="s">
        <v>532</v>
      </c>
      <c r="P113" s="258" t="s">
        <v>442</v>
      </c>
      <c r="Q113" s="306"/>
      <c r="R113" s="306"/>
      <c r="S113" s="293" t="s">
        <v>436</v>
      </c>
      <c r="T113" s="293" t="s">
        <v>436</v>
      </c>
      <c r="U113" s="258" t="s">
        <v>442</v>
      </c>
      <c r="V113" s="293" t="s">
        <v>436</v>
      </c>
      <c r="W113" s="293" t="s">
        <v>436</v>
      </c>
      <c r="X113" s="309" t="s">
        <v>532</v>
      </c>
      <c r="Y113" s="293" t="s">
        <v>436</v>
      </c>
      <c r="Z113" s="293" t="s">
        <v>436</v>
      </c>
      <c r="AA113" s="293" t="s">
        <v>436</v>
      </c>
      <c r="AB113" s="293" t="s">
        <v>436</v>
      </c>
      <c r="AC113" s="293" t="s">
        <v>436</v>
      </c>
      <c r="AD113" s="293" t="s">
        <v>436</v>
      </c>
      <c r="AE113" s="309" t="s">
        <v>532</v>
      </c>
      <c r="AF113" s="293" t="s">
        <v>436</v>
      </c>
      <c r="AG113" s="293" t="s">
        <v>436</v>
      </c>
      <c r="AH113" s="117" t="s">
        <v>609</v>
      </c>
      <c r="AI113" s="260"/>
      <c r="AJ113" s="260"/>
    </row>
    <row r="114" spans="1:36" x14ac:dyDescent="0.25">
      <c r="A114" s="240">
        <f t="shared" si="1"/>
        <v>109</v>
      </c>
      <c r="B114" s="308" t="s">
        <v>390</v>
      </c>
      <c r="C114" s="91" t="s">
        <v>418</v>
      </c>
      <c r="D114" s="293" t="s">
        <v>436</v>
      </c>
      <c r="E114" s="293" t="s">
        <v>436</v>
      </c>
      <c r="F114" s="293" t="s">
        <v>436</v>
      </c>
      <c r="G114" s="293" t="s">
        <v>436</v>
      </c>
      <c r="H114" s="293" t="s">
        <v>436</v>
      </c>
      <c r="I114" s="293" t="s">
        <v>436</v>
      </c>
      <c r="J114" s="306"/>
      <c r="K114" s="293" t="s">
        <v>436</v>
      </c>
      <c r="L114" s="293" t="s">
        <v>436</v>
      </c>
      <c r="M114" s="293" t="s">
        <v>436</v>
      </c>
      <c r="N114" s="293" t="s">
        <v>436</v>
      </c>
      <c r="O114" s="293" t="s">
        <v>436</v>
      </c>
      <c r="P114" s="293" t="s">
        <v>436</v>
      </c>
      <c r="Q114" s="306"/>
      <c r="R114" s="306"/>
      <c r="S114" s="293" t="s">
        <v>436</v>
      </c>
      <c r="T114" s="293" t="s">
        <v>436</v>
      </c>
      <c r="U114" s="293" t="s">
        <v>436</v>
      </c>
      <c r="V114" s="293" t="s">
        <v>436</v>
      </c>
      <c r="W114" s="293" t="s">
        <v>436</v>
      </c>
      <c r="X114" s="306"/>
      <c r="Y114" s="293" t="s">
        <v>436</v>
      </c>
      <c r="Z114" s="293" t="s">
        <v>436</v>
      </c>
      <c r="AA114" s="293" t="s">
        <v>436</v>
      </c>
      <c r="AB114" s="293" t="s">
        <v>436</v>
      </c>
      <c r="AC114" s="293" t="s">
        <v>436</v>
      </c>
      <c r="AD114" s="293" t="s">
        <v>436</v>
      </c>
      <c r="AE114" s="306"/>
      <c r="AF114" s="293" t="s">
        <v>436</v>
      </c>
      <c r="AG114" s="293" t="s">
        <v>436</v>
      </c>
      <c r="AH114" s="117" t="s">
        <v>609</v>
      </c>
    </row>
    <row r="115" spans="1:36" x14ac:dyDescent="0.25">
      <c r="A115" s="240">
        <f t="shared" si="1"/>
        <v>110</v>
      </c>
      <c r="B115" s="307" t="s">
        <v>180</v>
      </c>
      <c r="C115" s="92" t="s">
        <v>512</v>
      </c>
      <c r="D115" s="293" t="s">
        <v>436</v>
      </c>
      <c r="E115" s="293" t="s">
        <v>436</v>
      </c>
      <c r="F115" s="293" t="s">
        <v>436</v>
      </c>
      <c r="G115" s="293" t="s">
        <v>436</v>
      </c>
      <c r="H115" s="293" t="s">
        <v>436</v>
      </c>
      <c r="I115" s="293" t="s">
        <v>436</v>
      </c>
      <c r="J115" s="306"/>
      <c r="K115" s="293" t="s">
        <v>436</v>
      </c>
      <c r="L115" s="293" t="s">
        <v>436</v>
      </c>
      <c r="M115" s="293" t="s">
        <v>436</v>
      </c>
      <c r="N115" s="293" t="s">
        <v>436</v>
      </c>
      <c r="O115" s="293" t="s">
        <v>436</v>
      </c>
      <c r="P115" s="293" t="s">
        <v>436</v>
      </c>
      <c r="Q115" s="306"/>
      <c r="R115" s="306"/>
      <c r="S115" s="293" t="s">
        <v>436</v>
      </c>
      <c r="T115" s="293" t="s">
        <v>436</v>
      </c>
      <c r="U115" s="293" t="s">
        <v>436</v>
      </c>
      <c r="V115" s="293" t="s">
        <v>436</v>
      </c>
      <c r="W115" s="293" t="s">
        <v>436</v>
      </c>
      <c r="X115" s="306"/>
      <c r="Y115" s="293" t="s">
        <v>436</v>
      </c>
      <c r="Z115" s="293" t="s">
        <v>436</v>
      </c>
      <c r="AA115" s="293" t="s">
        <v>436</v>
      </c>
      <c r="AB115" s="293" t="s">
        <v>436</v>
      </c>
      <c r="AC115" s="293" t="s">
        <v>436</v>
      </c>
      <c r="AD115" s="293" t="s">
        <v>436</v>
      </c>
      <c r="AE115" s="306"/>
      <c r="AF115" s="293" t="s">
        <v>436</v>
      </c>
      <c r="AG115" s="293" t="s">
        <v>436</v>
      </c>
      <c r="AH115" s="117" t="s">
        <v>609</v>
      </c>
    </row>
    <row r="116" spans="1:36" x14ac:dyDescent="0.25">
      <c r="A116" s="240">
        <f t="shared" si="1"/>
        <v>111</v>
      </c>
      <c r="B116" s="308" t="s">
        <v>194</v>
      </c>
      <c r="C116" s="91" t="s">
        <v>490</v>
      </c>
      <c r="D116" s="293" t="s">
        <v>436</v>
      </c>
      <c r="E116" s="293" t="s">
        <v>436</v>
      </c>
      <c r="F116" s="293" t="s">
        <v>436</v>
      </c>
      <c r="G116" s="293" t="s">
        <v>436</v>
      </c>
      <c r="H116" s="293" t="s">
        <v>436</v>
      </c>
      <c r="I116" s="293" t="s">
        <v>436</v>
      </c>
      <c r="J116" s="306"/>
      <c r="K116" s="258" t="s">
        <v>442</v>
      </c>
      <c r="L116" s="293" t="s">
        <v>436</v>
      </c>
      <c r="M116" s="293" t="s">
        <v>436</v>
      </c>
      <c r="N116" s="293" t="s">
        <v>436</v>
      </c>
      <c r="O116" s="293" t="s">
        <v>436</v>
      </c>
      <c r="P116" s="293" t="s">
        <v>436</v>
      </c>
      <c r="Q116" s="306"/>
      <c r="R116" s="306"/>
      <c r="S116" s="293" t="s">
        <v>436</v>
      </c>
      <c r="T116" s="293" t="s">
        <v>436</v>
      </c>
      <c r="U116" s="293" t="s">
        <v>436</v>
      </c>
      <c r="V116" s="293" t="s">
        <v>436</v>
      </c>
      <c r="W116" s="293" t="s">
        <v>436</v>
      </c>
      <c r="X116" s="306"/>
      <c r="Y116" s="258" t="s">
        <v>442</v>
      </c>
      <c r="Z116" s="293" t="s">
        <v>436</v>
      </c>
      <c r="AA116" s="293" t="s">
        <v>436</v>
      </c>
      <c r="AB116" s="293" t="s">
        <v>436</v>
      </c>
      <c r="AC116" s="293" t="s">
        <v>436</v>
      </c>
      <c r="AD116" s="293" t="s">
        <v>436</v>
      </c>
      <c r="AE116" s="306"/>
      <c r="AF116" s="293" t="s">
        <v>436</v>
      </c>
      <c r="AG116" s="293" t="s">
        <v>436</v>
      </c>
      <c r="AH116" s="117" t="s">
        <v>609</v>
      </c>
    </row>
    <row r="117" spans="1:36" x14ac:dyDescent="0.25">
      <c r="A117" s="240">
        <f t="shared" si="1"/>
        <v>112</v>
      </c>
      <c r="B117" s="308" t="s">
        <v>222</v>
      </c>
      <c r="C117" s="91" t="s">
        <v>419</v>
      </c>
      <c r="D117" s="293" t="s">
        <v>436</v>
      </c>
      <c r="E117" s="293" t="s">
        <v>436</v>
      </c>
      <c r="F117" s="293" t="s">
        <v>436</v>
      </c>
      <c r="G117" s="293" t="s">
        <v>436</v>
      </c>
      <c r="H117" s="293" t="s">
        <v>436</v>
      </c>
      <c r="I117" s="293" t="s">
        <v>436</v>
      </c>
      <c r="J117" s="306"/>
      <c r="K117" s="293" t="s">
        <v>436</v>
      </c>
      <c r="L117" s="293" t="s">
        <v>436</v>
      </c>
      <c r="M117" s="293" t="s">
        <v>436</v>
      </c>
      <c r="N117" s="293" t="s">
        <v>436</v>
      </c>
      <c r="O117" s="293" t="s">
        <v>436</v>
      </c>
      <c r="P117" s="293" t="s">
        <v>436</v>
      </c>
      <c r="Q117" s="306"/>
      <c r="R117" s="306"/>
      <c r="S117" s="293" t="s">
        <v>436</v>
      </c>
      <c r="T117" s="293" t="s">
        <v>436</v>
      </c>
      <c r="U117" s="293" t="s">
        <v>436</v>
      </c>
      <c r="V117" s="293" t="s">
        <v>436</v>
      </c>
      <c r="W117" s="293" t="s">
        <v>436</v>
      </c>
      <c r="X117" s="306"/>
      <c r="Y117" s="293" t="s">
        <v>436</v>
      </c>
      <c r="Z117" s="293" t="s">
        <v>436</v>
      </c>
      <c r="AA117" s="293" t="s">
        <v>436</v>
      </c>
      <c r="AB117" s="293" t="s">
        <v>436</v>
      </c>
      <c r="AC117" s="293" t="s">
        <v>436</v>
      </c>
      <c r="AD117" s="293" t="s">
        <v>436</v>
      </c>
      <c r="AE117" s="306"/>
      <c r="AF117" s="293" t="s">
        <v>436</v>
      </c>
      <c r="AG117" s="293" t="s">
        <v>436</v>
      </c>
      <c r="AH117" s="117" t="s">
        <v>609</v>
      </c>
      <c r="AI117" s="73"/>
      <c r="AJ117" s="73"/>
    </row>
    <row r="118" spans="1:36" x14ac:dyDescent="0.25">
      <c r="A118" s="240">
        <f t="shared" si="1"/>
        <v>113</v>
      </c>
      <c r="B118" s="308" t="s">
        <v>224</v>
      </c>
      <c r="C118" s="91" t="s">
        <v>472</v>
      </c>
      <c r="D118" s="293" t="s">
        <v>436</v>
      </c>
      <c r="E118" s="293" t="s">
        <v>436</v>
      </c>
      <c r="F118" s="293" t="s">
        <v>436</v>
      </c>
      <c r="G118" s="293" t="s">
        <v>436</v>
      </c>
      <c r="H118" s="293" t="s">
        <v>436</v>
      </c>
      <c r="I118" s="293" t="s">
        <v>436</v>
      </c>
      <c r="J118" s="306"/>
      <c r="K118" s="293" t="s">
        <v>436</v>
      </c>
      <c r="L118" s="293" t="s">
        <v>436</v>
      </c>
      <c r="M118" s="293" t="s">
        <v>436</v>
      </c>
      <c r="N118" s="293" t="s">
        <v>436</v>
      </c>
      <c r="O118" s="293" t="s">
        <v>436</v>
      </c>
      <c r="P118" s="293" t="s">
        <v>436</v>
      </c>
      <c r="Q118" s="306"/>
      <c r="R118" s="306"/>
      <c r="S118" s="293" t="s">
        <v>436</v>
      </c>
      <c r="T118" s="293" t="s">
        <v>436</v>
      </c>
      <c r="U118" s="293" t="s">
        <v>436</v>
      </c>
      <c r="V118" s="293" t="s">
        <v>436</v>
      </c>
      <c r="W118" s="293" t="s">
        <v>436</v>
      </c>
      <c r="X118" s="306"/>
      <c r="Y118" s="293" t="s">
        <v>436</v>
      </c>
      <c r="Z118" s="293" t="s">
        <v>436</v>
      </c>
      <c r="AA118" s="293" t="s">
        <v>436</v>
      </c>
      <c r="AB118" s="293" t="s">
        <v>436</v>
      </c>
      <c r="AC118" s="293" t="s">
        <v>436</v>
      </c>
      <c r="AD118" s="293" t="s">
        <v>436</v>
      </c>
      <c r="AE118" s="306"/>
      <c r="AF118" s="293" t="s">
        <v>436</v>
      </c>
      <c r="AG118" s="293" t="s">
        <v>436</v>
      </c>
      <c r="AH118" s="117" t="s">
        <v>609</v>
      </c>
    </row>
    <row r="119" spans="1:36" x14ac:dyDescent="0.25">
      <c r="A119" s="240">
        <f t="shared" si="1"/>
        <v>114</v>
      </c>
      <c r="B119" s="307" t="s">
        <v>278</v>
      </c>
      <c r="C119" s="92" t="s">
        <v>530</v>
      </c>
      <c r="D119" s="258" t="s">
        <v>442</v>
      </c>
      <c r="E119" s="293" t="s">
        <v>436</v>
      </c>
      <c r="F119" s="293" t="s">
        <v>436</v>
      </c>
      <c r="G119" s="293" t="s">
        <v>436</v>
      </c>
      <c r="H119" s="258" t="s">
        <v>442</v>
      </c>
      <c r="I119" s="258" t="s">
        <v>442</v>
      </c>
      <c r="J119" s="306"/>
      <c r="K119" s="293" t="s">
        <v>436</v>
      </c>
      <c r="L119" s="293" t="s">
        <v>436</v>
      </c>
      <c r="M119" s="293" t="s">
        <v>436</v>
      </c>
      <c r="N119" s="293" t="s">
        <v>436</v>
      </c>
      <c r="O119" s="258" t="s">
        <v>442</v>
      </c>
      <c r="P119" s="258" t="s">
        <v>442</v>
      </c>
      <c r="Q119" s="306"/>
      <c r="R119" s="306"/>
      <c r="S119" s="293" t="s">
        <v>436</v>
      </c>
      <c r="T119" s="293" t="s">
        <v>436</v>
      </c>
      <c r="U119" s="293" t="s">
        <v>436</v>
      </c>
      <c r="V119" s="293" t="s">
        <v>436</v>
      </c>
      <c r="W119" s="293" t="s">
        <v>436</v>
      </c>
      <c r="X119" s="306"/>
      <c r="Y119" s="293" t="s">
        <v>436</v>
      </c>
      <c r="Z119" s="258" t="s">
        <v>442</v>
      </c>
      <c r="AA119" s="293" t="s">
        <v>436</v>
      </c>
      <c r="AB119" s="293" t="s">
        <v>436</v>
      </c>
      <c r="AC119" s="293" t="s">
        <v>436</v>
      </c>
      <c r="AD119" s="293" t="s">
        <v>436</v>
      </c>
      <c r="AE119" s="306"/>
      <c r="AF119" s="293" t="s">
        <v>436</v>
      </c>
      <c r="AG119" s="293" t="s">
        <v>436</v>
      </c>
      <c r="AH119" s="117" t="s">
        <v>609</v>
      </c>
      <c r="AI119" s="260"/>
      <c r="AJ119" s="260"/>
    </row>
    <row r="120" spans="1:36" x14ac:dyDescent="0.25">
      <c r="A120" s="240">
        <f t="shared" si="1"/>
        <v>115</v>
      </c>
      <c r="B120" s="307" t="s">
        <v>290</v>
      </c>
      <c r="C120" s="92" t="s">
        <v>484</v>
      </c>
      <c r="D120" s="293" t="s">
        <v>436</v>
      </c>
      <c r="E120" s="293" t="s">
        <v>436</v>
      </c>
      <c r="F120" s="293" t="s">
        <v>436</v>
      </c>
      <c r="G120" s="293" t="s">
        <v>436</v>
      </c>
      <c r="H120" s="293" t="s">
        <v>436</v>
      </c>
      <c r="I120" s="293" t="s">
        <v>436</v>
      </c>
      <c r="J120" s="306"/>
      <c r="K120" s="293" t="s">
        <v>436</v>
      </c>
      <c r="L120" s="293" t="s">
        <v>436</v>
      </c>
      <c r="M120" s="293" t="s">
        <v>436</v>
      </c>
      <c r="N120" s="293" t="s">
        <v>436</v>
      </c>
      <c r="O120" s="293" t="s">
        <v>436</v>
      </c>
      <c r="P120" s="293" t="s">
        <v>436</v>
      </c>
      <c r="Q120" s="306"/>
      <c r="R120" s="306"/>
      <c r="S120" s="293" t="s">
        <v>436</v>
      </c>
      <c r="T120" s="293" t="s">
        <v>436</v>
      </c>
      <c r="U120" s="293" t="s">
        <v>436</v>
      </c>
      <c r="V120" s="293" t="s">
        <v>436</v>
      </c>
      <c r="W120" s="293" t="s">
        <v>436</v>
      </c>
      <c r="X120" s="306"/>
      <c r="Y120" s="293" t="s">
        <v>436</v>
      </c>
      <c r="Z120" s="293" t="s">
        <v>436</v>
      </c>
      <c r="AA120" s="258" t="s">
        <v>442</v>
      </c>
      <c r="AB120" s="293" t="s">
        <v>436</v>
      </c>
      <c r="AC120" s="293" t="s">
        <v>436</v>
      </c>
      <c r="AD120" s="293" t="s">
        <v>436</v>
      </c>
      <c r="AE120" s="306"/>
      <c r="AF120" s="293" t="s">
        <v>436</v>
      </c>
      <c r="AG120" s="293" t="s">
        <v>436</v>
      </c>
      <c r="AH120" s="117" t="s">
        <v>609</v>
      </c>
      <c r="AI120" s="311"/>
      <c r="AJ120" s="311"/>
    </row>
    <row r="121" spans="1:36" x14ac:dyDescent="0.25">
      <c r="A121" s="240">
        <f t="shared" si="1"/>
        <v>116</v>
      </c>
      <c r="B121" s="308" t="s">
        <v>292</v>
      </c>
      <c r="C121" s="91" t="s">
        <v>492</v>
      </c>
      <c r="D121" s="293" t="s">
        <v>436</v>
      </c>
      <c r="E121" s="293" t="s">
        <v>436</v>
      </c>
      <c r="F121" s="293" t="s">
        <v>436</v>
      </c>
      <c r="G121" s="293" t="s">
        <v>436</v>
      </c>
      <c r="H121" s="293" t="s">
        <v>436</v>
      </c>
      <c r="I121" s="293" t="s">
        <v>436</v>
      </c>
      <c r="J121" s="306"/>
      <c r="K121" s="293" t="s">
        <v>436</v>
      </c>
      <c r="L121" s="293" t="s">
        <v>436</v>
      </c>
      <c r="M121" s="293" t="s">
        <v>436</v>
      </c>
      <c r="N121" s="293" t="s">
        <v>436</v>
      </c>
      <c r="O121" s="293" t="s">
        <v>436</v>
      </c>
      <c r="P121" s="293" t="s">
        <v>436</v>
      </c>
      <c r="Q121" s="306"/>
      <c r="R121" s="306"/>
      <c r="S121" s="293" t="s">
        <v>436</v>
      </c>
      <c r="T121" s="312" t="s">
        <v>529</v>
      </c>
      <c r="U121" s="293" t="s">
        <v>436</v>
      </c>
      <c r="V121" s="293" t="s">
        <v>436</v>
      </c>
      <c r="W121" s="293" t="s">
        <v>436</v>
      </c>
      <c r="X121" s="306"/>
      <c r="Y121" s="293" t="s">
        <v>436</v>
      </c>
      <c r="Z121" s="293" t="s">
        <v>436</v>
      </c>
      <c r="AA121" s="293" t="s">
        <v>436</v>
      </c>
      <c r="AB121" s="293" t="s">
        <v>436</v>
      </c>
      <c r="AC121" s="293" t="s">
        <v>436</v>
      </c>
      <c r="AD121" s="293" t="s">
        <v>436</v>
      </c>
      <c r="AE121" s="306"/>
      <c r="AF121" s="293" t="s">
        <v>436</v>
      </c>
      <c r="AG121" s="293" t="s">
        <v>436</v>
      </c>
      <c r="AH121" s="117" t="s">
        <v>609</v>
      </c>
      <c r="AI121" s="260"/>
      <c r="AJ121" s="260"/>
    </row>
    <row r="122" spans="1:36" x14ac:dyDescent="0.25">
      <c r="A122" s="240">
        <f t="shared" si="1"/>
        <v>117</v>
      </c>
      <c r="B122" s="313" t="s">
        <v>523</v>
      </c>
      <c r="C122" s="103" t="s">
        <v>524</v>
      </c>
      <c r="D122" s="293" t="s">
        <v>436</v>
      </c>
      <c r="E122" s="293" t="s">
        <v>436</v>
      </c>
      <c r="F122" s="293" t="s">
        <v>436</v>
      </c>
      <c r="G122" s="293" t="s">
        <v>436</v>
      </c>
      <c r="H122" s="293" t="s">
        <v>436</v>
      </c>
      <c r="I122" s="293" t="s">
        <v>436</v>
      </c>
      <c r="J122" s="306"/>
      <c r="K122" s="293" t="s">
        <v>436</v>
      </c>
      <c r="L122" s="293" t="s">
        <v>436</v>
      </c>
      <c r="M122" s="293" t="s">
        <v>436</v>
      </c>
      <c r="N122" s="293" t="s">
        <v>436</v>
      </c>
      <c r="O122" s="293" t="s">
        <v>436</v>
      </c>
      <c r="P122" s="293" t="s">
        <v>436</v>
      </c>
      <c r="Q122" s="306"/>
      <c r="R122" s="306"/>
      <c r="S122" s="293" t="s">
        <v>436</v>
      </c>
      <c r="T122" s="293" t="s">
        <v>436</v>
      </c>
      <c r="U122" s="293" t="s">
        <v>436</v>
      </c>
      <c r="V122" s="293" t="s">
        <v>436</v>
      </c>
      <c r="W122" s="293" t="s">
        <v>436</v>
      </c>
      <c r="X122" s="306"/>
      <c r="Y122" s="293" t="s">
        <v>436</v>
      </c>
      <c r="Z122" s="293" t="s">
        <v>436</v>
      </c>
      <c r="AA122" s="293" t="s">
        <v>436</v>
      </c>
      <c r="AB122" s="293" t="s">
        <v>436</v>
      </c>
      <c r="AC122" s="293" t="s">
        <v>436</v>
      </c>
      <c r="AD122" s="293" t="s">
        <v>436</v>
      </c>
      <c r="AE122" s="306"/>
      <c r="AF122" s="293" t="s">
        <v>436</v>
      </c>
      <c r="AG122" s="293" t="s">
        <v>436</v>
      </c>
      <c r="AH122" s="117" t="s">
        <v>609</v>
      </c>
    </row>
    <row r="123" spans="1:36" x14ac:dyDescent="0.25">
      <c r="A123" s="240">
        <f t="shared" si="1"/>
        <v>118</v>
      </c>
      <c r="B123" s="292" t="s">
        <v>546</v>
      </c>
      <c r="C123" s="92" t="s">
        <v>547</v>
      </c>
      <c r="D123" s="293" t="s">
        <v>436</v>
      </c>
      <c r="E123" s="258" t="s">
        <v>442</v>
      </c>
      <c r="F123" s="293" t="s">
        <v>436</v>
      </c>
      <c r="G123" s="293" t="s">
        <v>436</v>
      </c>
      <c r="H123" s="293" t="s">
        <v>436</v>
      </c>
      <c r="I123" s="293" t="s">
        <v>436</v>
      </c>
      <c r="J123" s="306"/>
      <c r="K123" s="293" t="s">
        <v>436</v>
      </c>
      <c r="L123" s="293" t="s">
        <v>436</v>
      </c>
      <c r="M123" s="293" t="s">
        <v>436</v>
      </c>
      <c r="N123" s="293" t="s">
        <v>436</v>
      </c>
      <c r="O123" s="293" t="s">
        <v>436</v>
      </c>
      <c r="P123" s="293" t="s">
        <v>436</v>
      </c>
      <c r="Q123" s="306"/>
      <c r="R123" s="306"/>
      <c r="S123" s="293" t="s">
        <v>436</v>
      </c>
      <c r="T123" s="293" t="s">
        <v>436</v>
      </c>
      <c r="U123" s="293" t="s">
        <v>436</v>
      </c>
      <c r="V123" s="293" t="s">
        <v>436</v>
      </c>
      <c r="W123" s="293" t="s">
        <v>436</v>
      </c>
      <c r="X123" s="306"/>
      <c r="Y123" s="293" t="s">
        <v>436</v>
      </c>
      <c r="Z123" s="293" t="s">
        <v>436</v>
      </c>
      <c r="AA123" s="293" t="s">
        <v>436</v>
      </c>
      <c r="AB123" s="293" t="s">
        <v>436</v>
      </c>
      <c r="AC123" s="293" t="s">
        <v>436</v>
      </c>
      <c r="AD123" s="293" t="s">
        <v>436</v>
      </c>
      <c r="AE123" s="306"/>
      <c r="AF123" s="293" t="s">
        <v>436</v>
      </c>
      <c r="AG123" s="293" t="s">
        <v>436</v>
      </c>
      <c r="AH123" s="117" t="s">
        <v>609</v>
      </c>
    </row>
    <row r="124" spans="1:36" s="111" customFormat="1" x14ac:dyDescent="0.25">
      <c r="A124" s="314">
        <f t="shared" si="1"/>
        <v>119</v>
      </c>
      <c r="B124" s="315" t="s">
        <v>538</v>
      </c>
      <c r="C124" s="316" t="s">
        <v>539</v>
      </c>
      <c r="D124" s="317" t="s">
        <v>442</v>
      </c>
      <c r="E124" s="317" t="s">
        <v>442</v>
      </c>
      <c r="F124" s="317" t="s">
        <v>442</v>
      </c>
      <c r="G124" s="317" t="s">
        <v>442</v>
      </c>
      <c r="H124" s="317" t="s">
        <v>442</v>
      </c>
      <c r="I124" s="317" t="s">
        <v>442</v>
      </c>
      <c r="J124" s="317" t="s">
        <v>442</v>
      </c>
      <c r="K124" s="317" t="s">
        <v>442</v>
      </c>
      <c r="L124" s="317" t="s">
        <v>442</v>
      </c>
      <c r="M124" s="317" t="s">
        <v>442</v>
      </c>
      <c r="N124" s="271" t="s">
        <v>469</v>
      </c>
      <c r="O124" s="271" t="s">
        <v>469</v>
      </c>
      <c r="P124" s="271" t="s">
        <v>469</v>
      </c>
      <c r="Q124" s="271" t="s">
        <v>469</v>
      </c>
      <c r="R124" s="271" t="s">
        <v>469</v>
      </c>
      <c r="S124" s="271" t="s">
        <v>469</v>
      </c>
      <c r="T124" s="271" t="s">
        <v>469</v>
      </c>
      <c r="U124" s="271" t="s">
        <v>469</v>
      </c>
      <c r="V124" s="271" t="s">
        <v>469</v>
      </c>
      <c r="W124" s="271" t="s">
        <v>469</v>
      </c>
      <c r="X124" s="271" t="s">
        <v>469</v>
      </c>
      <c r="Y124" s="271" t="s">
        <v>469</v>
      </c>
      <c r="Z124" s="271" t="s">
        <v>469</v>
      </c>
      <c r="AA124" s="271" t="s">
        <v>469</v>
      </c>
      <c r="AB124" s="271" t="s">
        <v>469</v>
      </c>
      <c r="AC124" s="271" t="s">
        <v>469</v>
      </c>
      <c r="AD124" s="271" t="s">
        <v>469</v>
      </c>
      <c r="AE124" s="271" t="s">
        <v>469</v>
      </c>
      <c r="AF124" s="271" t="s">
        <v>469</v>
      </c>
      <c r="AG124" s="271" t="s">
        <v>469</v>
      </c>
      <c r="AH124" s="318" t="s">
        <v>610</v>
      </c>
      <c r="AI124" s="311"/>
      <c r="AJ124" s="311"/>
    </row>
    <row r="125" spans="1:36" x14ac:dyDescent="0.25">
      <c r="A125" s="240">
        <f t="shared" si="1"/>
        <v>120</v>
      </c>
      <c r="B125" s="35">
        <v>231</v>
      </c>
      <c r="C125" s="91" t="s">
        <v>42</v>
      </c>
      <c r="D125" s="285" t="s">
        <v>469</v>
      </c>
      <c r="E125" s="285" t="s">
        <v>469</v>
      </c>
      <c r="F125" s="285" t="s">
        <v>469</v>
      </c>
      <c r="G125" s="285" t="s">
        <v>469</v>
      </c>
      <c r="H125" s="285" t="s">
        <v>469</v>
      </c>
      <c r="I125" s="285" t="s">
        <v>469</v>
      </c>
      <c r="J125" s="285" t="s">
        <v>469</v>
      </c>
      <c r="K125" s="285" t="s">
        <v>469</v>
      </c>
      <c r="L125" s="285" t="s">
        <v>469</v>
      </c>
      <c r="M125" s="285" t="s">
        <v>469</v>
      </c>
      <c r="N125" s="285" t="s">
        <v>469</v>
      </c>
      <c r="O125" s="285" t="s">
        <v>469</v>
      </c>
      <c r="P125" s="285" t="s">
        <v>469</v>
      </c>
      <c r="Q125" s="285" t="s">
        <v>469</v>
      </c>
      <c r="R125" s="285" t="s">
        <v>469</v>
      </c>
      <c r="S125" s="285" t="s">
        <v>469</v>
      </c>
      <c r="T125" s="285" t="s">
        <v>469</v>
      </c>
      <c r="U125" s="285" t="s">
        <v>469</v>
      </c>
      <c r="V125" s="285" t="s">
        <v>469</v>
      </c>
      <c r="W125" s="285" t="s">
        <v>469</v>
      </c>
      <c r="X125" s="285" t="s">
        <v>469</v>
      </c>
      <c r="Y125" s="285" t="s">
        <v>469</v>
      </c>
      <c r="Z125" s="285" t="s">
        <v>469</v>
      </c>
      <c r="AA125" s="285" t="s">
        <v>469</v>
      </c>
      <c r="AB125" s="285" t="s">
        <v>469</v>
      </c>
      <c r="AC125" s="285" t="s">
        <v>469</v>
      </c>
      <c r="AD125" s="285" t="s">
        <v>469</v>
      </c>
      <c r="AE125" s="285" t="s">
        <v>469</v>
      </c>
      <c r="AF125" s="285" t="s">
        <v>469</v>
      </c>
      <c r="AG125" s="285" t="s">
        <v>469</v>
      </c>
      <c r="AH125" s="319" t="s">
        <v>500</v>
      </c>
    </row>
    <row r="126" spans="1:36" x14ac:dyDescent="0.25">
      <c r="A126" s="240">
        <f t="shared" si="1"/>
        <v>121</v>
      </c>
      <c r="B126" s="75">
        <v>1035</v>
      </c>
      <c r="C126" s="91" t="s">
        <v>447</v>
      </c>
      <c r="D126" s="285" t="s">
        <v>469</v>
      </c>
      <c r="E126" s="285" t="s">
        <v>469</v>
      </c>
      <c r="F126" s="285" t="s">
        <v>469</v>
      </c>
      <c r="G126" s="285" t="s">
        <v>469</v>
      </c>
      <c r="H126" s="285" t="s">
        <v>469</v>
      </c>
      <c r="I126" s="285" t="s">
        <v>469</v>
      </c>
      <c r="J126" s="285" t="s">
        <v>469</v>
      </c>
      <c r="K126" s="285" t="s">
        <v>469</v>
      </c>
      <c r="L126" s="285" t="s">
        <v>469</v>
      </c>
      <c r="M126" s="285" t="s">
        <v>469</v>
      </c>
      <c r="N126" s="285" t="s">
        <v>469</v>
      </c>
      <c r="O126" s="285" t="s">
        <v>469</v>
      </c>
      <c r="P126" s="285" t="s">
        <v>469</v>
      </c>
      <c r="Q126" s="285" t="s">
        <v>469</v>
      </c>
      <c r="R126" s="285" t="s">
        <v>469</v>
      </c>
      <c r="S126" s="285" t="s">
        <v>469</v>
      </c>
      <c r="T126" s="285" t="s">
        <v>469</v>
      </c>
      <c r="U126" s="285" t="s">
        <v>469</v>
      </c>
      <c r="V126" s="285" t="s">
        <v>469</v>
      </c>
      <c r="W126" s="285" t="s">
        <v>469</v>
      </c>
      <c r="X126" s="285" t="s">
        <v>469</v>
      </c>
      <c r="Y126" s="285" t="s">
        <v>469</v>
      </c>
      <c r="Z126" s="285" t="s">
        <v>469</v>
      </c>
      <c r="AA126" s="285" t="s">
        <v>469</v>
      </c>
      <c r="AB126" s="285" t="s">
        <v>469</v>
      </c>
      <c r="AC126" s="285" t="s">
        <v>469</v>
      </c>
      <c r="AD126" s="285" t="s">
        <v>469</v>
      </c>
      <c r="AE126" s="285" t="s">
        <v>469</v>
      </c>
      <c r="AF126" s="285" t="s">
        <v>469</v>
      </c>
      <c r="AG126" s="285" t="s">
        <v>469</v>
      </c>
      <c r="AH126" s="319" t="s">
        <v>500</v>
      </c>
    </row>
    <row r="127" spans="1:36" s="73" customFormat="1" x14ac:dyDescent="0.25">
      <c r="A127" s="240">
        <f t="shared" si="1"/>
        <v>122</v>
      </c>
      <c r="B127" s="90" t="s">
        <v>312</v>
      </c>
      <c r="C127" s="91" t="s">
        <v>313</v>
      </c>
      <c r="D127" s="285" t="s">
        <v>469</v>
      </c>
      <c r="E127" s="285" t="s">
        <v>469</v>
      </c>
      <c r="F127" s="285" t="s">
        <v>469</v>
      </c>
      <c r="G127" s="285" t="s">
        <v>469</v>
      </c>
      <c r="H127" s="285" t="s">
        <v>469</v>
      </c>
      <c r="I127" s="285" t="s">
        <v>469</v>
      </c>
      <c r="J127" s="285" t="s">
        <v>469</v>
      </c>
      <c r="K127" s="285" t="s">
        <v>469</v>
      </c>
      <c r="L127" s="285" t="s">
        <v>469</v>
      </c>
      <c r="M127" s="285" t="s">
        <v>469</v>
      </c>
      <c r="N127" s="285" t="s">
        <v>469</v>
      </c>
      <c r="O127" s="285" t="s">
        <v>469</v>
      </c>
      <c r="P127" s="285" t="s">
        <v>469</v>
      </c>
      <c r="Q127" s="285" t="s">
        <v>469</v>
      </c>
      <c r="R127" s="285" t="s">
        <v>469</v>
      </c>
      <c r="S127" s="285" t="s">
        <v>469</v>
      </c>
      <c r="T127" s="285" t="s">
        <v>469</v>
      </c>
      <c r="U127" s="285" t="s">
        <v>469</v>
      </c>
      <c r="V127" s="285" t="s">
        <v>469</v>
      </c>
      <c r="W127" s="285" t="s">
        <v>469</v>
      </c>
      <c r="X127" s="285" t="s">
        <v>469</v>
      </c>
      <c r="Y127" s="285" t="s">
        <v>469</v>
      </c>
      <c r="Z127" s="285" t="s">
        <v>469</v>
      </c>
      <c r="AA127" s="285" t="s">
        <v>469</v>
      </c>
      <c r="AB127" s="285" t="s">
        <v>469</v>
      </c>
      <c r="AC127" s="285" t="s">
        <v>469</v>
      </c>
      <c r="AD127" s="285" t="s">
        <v>469</v>
      </c>
      <c r="AE127" s="285" t="s">
        <v>469</v>
      </c>
      <c r="AF127" s="285" t="s">
        <v>469</v>
      </c>
      <c r="AG127" s="285" t="s">
        <v>469</v>
      </c>
      <c r="AH127" s="319" t="s">
        <v>500</v>
      </c>
      <c r="AI127"/>
      <c r="AJ127"/>
    </row>
    <row r="128" spans="1:36" x14ac:dyDescent="0.25">
      <c r="A128" s="240">
        <f t="shared" si="1"/>
        <v>123</v>
      </c>
      <c r="B128" s="119" t="s">
        <v>336</v>
      </c>
      <c r="C128" s="92" t="s">
        <v>337</v>
      </c>
      <c r="D128" s="285" t="s">
        <v>469</v>
      </c>
      <c r="E128" s="285" t="s">
        <v>469</v>
      </c>
      <c r="F128" s="285" t="s">
        <v>469</v>
      </c>
      <c r="G128" s="285" t="s">
        <v>469</v>
      </c>
      <c r="H128" s="285" t="s">
        <v>469</v>
      </c>
      <c r="I128" s="285" t="s">
        <v>469</v>
      </c>
      <c r="J128" s="285" t="s">
        <v>469</v>
      </c>
      <c r="K128" s="285" t="s">
        <v>469</v>
      </c>
      <c r="L128" s="285" t="s">
        <v>469</v>
      </c>
      <c r="M128" s="285" t="s">
        <v>469</v>
      </c>
      <c r="N128" s="285" t="s">
        <v>469</v>
      </c>
      <c r="O128" s="285" t="s">
        <v>469</v>
      </c>
      <c r="P128" s="285" t="s">
        <v>469</v>
      </c>
      <c r="Q128" s="285" t="s">
        <v>469</v>
      </c>
      <c r="R128" s="285" t="s">
        <v>469</v>
      </c>
      <c r="S128" s="285" t="s">
        <v>469</v>
      </c>
      <c r="T128" s="285" t="s">
        <v>469</v>
      </c>
      <c r="U128" s="285" t="s">
        <v>469</v>
      </c>
      <c r="V128" s="285" t="s">
        <v>469</v>
      </c>
      <c r="W128" s="285" t="s">
        <v>469</v>
      </c>
      <c r="X128" s="285" t="s">
        <v>469</v>
      </c>
      <c r="Y128" s="285" t="s">
        <v>469</v>
      </c>
      <c r="Z128" s="285" t="s">
        <v>469</v>
      </c>
      <c r="AA128" s="285" t="s">
        <v>469</v>
      </c>
      <c r="AB128" s="285" t="s">
        <v>469</v>
      </c>
      <c r="AC128" s="285" t="s">
        <v>469</v>
      </c>
      <c r="AD128" s="285" t="s">
        <v>469</v>
      </c>
      <c r="AE128" s="285" t="s">
        <v>469</v>
      </c>
      <c r="AF128" s="285" t="s">
        <v>469</v>
      </c>
      <c r="AG128" s="285" t="s">
        <v>469</v>
      </c>
      <c r="AH128" s="319" t="s">
        <v>500</v>
      </c>
    </row>
    <row r="129" spans="1:34" x14ac:dyDescent="0.25">
      <c r="A129" s="320"/>
      <c r="B129" s="121"/>
      <c r="C129" s="122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88"/>
      <c r="AF129" s="88"/>
      <c r="AG129" s="88"/>
      <c r="AH129" s="123"/>
    </row>
    <row r="130" spans="1:34" x14ac:dyDescent="0.25">
      <c r="A130" s="320"/>
      <c r="B130" s="121"/>
      <c r="C130" s="122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88"/>
      <c r="AF130" s="88"/>
      <c r="AG130" s="88"/>
      <c r="AH130" s="123"/>
    </row>
    <row r="131" spans="1:34" ht="15" customHeight="1" x14ac:dyDescent="0.25"/>
    <row r="132" spans="1:34" ht="15" customHeight="1" x14ac:dyDescent="0.25"/>
    <row r="133" spans="1:34" ht="15" customHeight="1" x14ac:dyDescent="0.25"/>
    <row r="134" spans="1:34" ht="15" customHeight="1" x14ac:dyDescent="0.25"/>
    <row r="135" spans="1:34" ht="15" customHeight="1" x14ac:dyDescent="0.25"/>
    <row r="136" spans="1:34" ht="15" customHeight="1" x14ac:dyDescent="0.25"/>
    <row r="137" spans="1:34" ht="15" customHeight="1" x14ac:dyDescent="0.25"/>
    <row r="138" spans="1:34" ht="15" customHeight="1" x14ac:dyDescent="0.25"/>
    <row r="139" spans="1:34" ht="15" customHeight="1" x14ac:dyDescent="0.25"/>
    <row r="140" spans="1:34" ht="15" customHeight="1" x14ac:dyDescent="0.25"/>
    <row r="141" spans="1:34" ht="15" customHeight="1" x14ac:dyDescent="0.25"/>
    <row r="142" spans="1:34" ht="15" customHeight="1" x14ac:dyDescent="0.25"/>
    <row r="143" spans="1:34" ht="15" customHeight="1" x14ac:dyDescent="0.25"/>
    <row r="144" spans="1:3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</sheetData>
  <mergeCells count="33">
    <mergeCell ref="P130:R130"/>
    <mergeCell ref="S130:U130"/>
    <mergeCell ref="V130:X130"/>
    <mergeCell ref="Y130:AA130"/>
    <mergeCell ref="AB130:AD130"/>
    <mergeCell ref="AF1:AJ2"/>
    <mergeCell ref="K3:M3"/>
    <mergeCell ref="O3:R3"/>
    <mergeCell ref="T3:Y3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Z3:AC3"/>
    <mergeCell ref="AD3:AE3"/>
    <mergeCell ref="D130:F130"/>
    <mergeCell ref="G130:I130"/>
    <mergeCell ref="J130:L130"/>
    <mergeCell ref="M130:O130"/>
    <mergeCell ref="D3:F3"/>
    <mergeCell ref="G3:I3"/>
    <mergeCell ref="C1:C2"/>
    <mergeCell ref="D1:J2"/>
    <mergeCell ref="K1:R2"/>
    <mergeCell ref="S1:Y2"/>
    <mergeCell ref="Z1:AE2"/>
    <mergeCell ref="A2:B2"/>
    <mergeCell ref="A1:B1"/>
  </mergeCells>
  <conditionalFormatting sqref="B7">
    <cfRule type="duplicateValues" dxfId="40" priority="6"/>
    <cfRule type="duplicateValues" dxfId="39" priority="7"/>
  </conditionalFormatting>
  <conditionalFormatting sqref="B33">
    <cfRule type="duplicateValues" dxfId="38" priority="24"/>
    <cfRule type="duplicateValues" dxfId="37" priority="25"/>
  </conditionalFormatting>
  <conditionalFormatting sqref="B46">
    <cfRule type="duplicateValues" dxfId="36" priority="1"/>
  </conditionalFormatting>
  <conditionalFormatting sqref="B83">
    <cfRule type="duplicateValues" dxfId="35" priority="8"/>
    <cfRule type="duplicateValues" dxfId="34" priority="9"/>
    <cfRule type="duplicateValues" dxfId="33" priority="10"/>
    <cfRule type="duplicateValues" dxfId="32" priority="11"/>
  </conditionalFormatting>
  <conditionalFormatting sqref="B90 B7">
    <cfRule type="duplicateValues" dxfId="31" priority="13"/>
    <cfRule type="duplicateValues" dxfId="30" priority="14"/>
    <cfRule type="duplicateValues" dxfId="29" priority="15"/>
    <cfRule type="duplicateValues" dxfId="28" priority="16"/>
    <cfRule type="duplicateValues" dxfId="27" priority="17"/>
    <cfRule type="duplicateValues" dxfId="26" priority="18"/>
    <cfRule type="duplicateValues" dxfId="25" priority="19"/>
    <cfRule type="duplicateValues" dxfId="24" priority="20"/>
    <cfRule type="duplicateValues" dxfId="23" priority="21"/>
    <cfRule type="duplicateValues" dxfId="22" priority="22"/>
    <cfRule type="duplicateValues" dxfId="21" priority="23"/>
  </conditionalFormatting>
  <conditionalFormatting sqref="B91:B94 B1:B2 B47:B51 B4:B6 B53:B71 B34:B35 B37:B45 B99:B112 B125:B1048576 B114:B123 B75:B82 B73 B84:B89 B8:B32">
    <cfRule type="duplicateValues" dxfId="20" priority="27"/>
    <cfRule type="duplicateValues" dxfId="19" priority="28"/>
  </conditionalFormatting>
  <conditionalFormatting sqref="B113">
    <cfRule type="duplicateValues" dxfId="18" priority="12"/>
  </conditionalFormatting>
  <conditionalFormatting sqref="B124">
    <cfRule type="duplicateValues" dxfId="17" priority="26"/>
  </conditionalFormatting>
  <conditionalFormatting sqref="B131:B1048576">
    <cfRule type="duplicateValues" dxfId="16" priority="3"/>
    <cfRule type="duplicateValues" dxfId="15" priority="4"/>
    <cfRule type="duplicateValues" dxfId="14" priority="5"/>
  </conditionalFormatting>
  <conditionalFormatting sqref="B38:C49 B7:C18 B22:C22 B26:C26 B32:C33 B51:C52 B61:C62 B65:C124 B125:B127 B128:C128">
    <cfRule type="expression" dxfId="13" priority="2">
      <formula>CELL("row")=ROW()</formula>
    </cfRule>
  </conditionalFormatting>
  <dataValidations count="1">
    <dataValidation allowBlank="1" showInputMessage="1" showErrorMessage="1" errorTitle="First Name" error="Please type correct value" promptTitle="First Name" prompt="Please enter maximum 15 Letter, not allowed to leave it blank or to use only - or ." sqref="B22:C22 B33:C33 B47:C47 C64:C66 B67:C68 C83:C87 C69 C25:C28 C48:C52 C32:C46 B122:B123 C10:C18 C55:C62 C101:C128 B70:C82 B84:C100" xr:uid="{7286F78C-072F-487F-9856-0E775E4E3123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FF91-F249-440C-99DC-D657502E5EDC}">
  <dimension ref="A1:B1"/>
  <sheetViews>
    <sheetView topLeftCell="B1" workbookViewId="0">
      <selection activeCell="N12" sqref="N12"/>
    </sheetView>
  </sheetViews>
  <sheetFormatPr defaultRowHeight="15.75" x14ac:dyDescent="0.3"/>
  <cols>
    <col min="1" max="1" width="9.140625" style="325"/>
    <col min="2" max="2" width="9.140625" style="326"/>
    <col min="3" max="16384" width="9.140625" style="11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9BB8-5833-46EA-AB0B-63E5609B663C}">
  <dimension ref="A1:F53"/>
  <sheetViews>
    <sheetView workbookViewId="0">
      <selection sqref="A1:XFD1048576"/>
    </sheetView>
  </sheetViews>
  <sheetFormatPr defaultRowHeight="15" x14ac:dyDescent="0.25"/>
  <cols>
    <col min="1" max="1" width="4" customWidth="1"/>
    <col min="2" max="2" width="7.140625" customWidth="1"/>
    <col min="3" max="3" width="39" customWidth="1"/>
    <col min="4" max="4" width="18.5703125" customWidth="1"/>
    <col min="5" max="5" width="16.140625" customWidth="1"/>
    <col min="6" max="6" width="11.85546875" bestFit="1" customWidth="1"/>
  </cols>
  <sheetData>
    <row r="1" spans="1:6" x14ac:dyDescent="0.25">
      <c r="A1" s="321" t="s">
        <v>614</v>
      </c>
      <c r="B1" s="321"/>
      <c r="C1" s="321"/>
      <c r="D1" s="321"/>
      <c r="E1" s="321"/>
      <c r="F1" s="321"/>
    </row>
    <row r="2" spans="1:6" x14ac:dyDescent="0.25">
      <c r="A2" s="322" t="s">
        <v>426</v>
      </c>
      <c r="B2" s="322" t="s">
        <v>1</v>
      </c>
      <c r="C2" s="322" t="s">
        <v>427</v>
      </c>
      <c r="D2" s="322" t="s">
        <v>527</v>
      </c>
      <c r="E2" s="322" t="s">
        <v>615</v>
      </c>
      <c r="F2" s="322" t="s">
        <v>616</v>
      </c>
    </row>
    <row r="3" spans="1:6" x14ac:dyDescent="0.25">
      <c r="A3" s="47">
        <v>1</v>
      </c>
      <c r="B3" s="110">
        <v>995</v>
      </c>
      <c r="C3" s="92" t="s">
        <v>617</v>
      </c>
      <c r="D3" s="323">
        <v>46175</v>
      </c>
      <c r="E3" s="323">
        <v>46175</v>
      </c>
      <c r="F3" s="51" t="s">
        <v>618</v>
      </c>
    </row>
    <row r="4" spans="1:6" x14ac:dyDescent="0.25">
      <c r="A4" s="47">
        <v>2</v>
      </c>
      <c r="B4" s="90" t="s">
        <v>619</v>
      </c>
      <c r="C4" s="91" t="s">
        <v>459</v>
      </c>
      <c r="D4" s="323">
        <v>46176</v>
      </c>
      <c r="E4" s="323">
        <v>46176</v>
      </c>
      <c r="F4" s="51" t="s">
        <v>618</v>
      </c>
    </row>
    <row r="5" spans="1:6" x14ac:dyDescent="0.25">
      <c r="A5" s="47">
        <v>3</v>
      </c>
      <c r="B5" s="75" t="s">
        <v>147</v>
      </c>
      <c r="C5" s="92" t="s">
        <v>148</v>
      </c>
      <c r="D5" s="323">
        <v>46176</v>
      </c>
      <c r="E5" s="323">
        <v>46176</v>
      </c>
      <c r="F5" s="51" t="s">
        <v>618</v>
      </c>
    </row>
    <row r="6" spans="1:6" x14ac:dyDescent="0.25">
      <c r="A6" s="47">
        <v>4</v>
      </c>
      <c r="B6" s="90">
        <v>182</v>
      </c>
      <c r="C6" s="91" t="s">
        <v>620</v>
      </c>
      <c r="D6" s="323">
        <v>46176</v>
      </c>
      <c r="E6" s="323">
        <v>46176</v>
      </c>
      <c r="F6" s="51" t="s">
        <v>618</v>
      </c>
    </row>
    <row r="7" spans="1:6" x14ac:dyDescent="0.25">
      <c r="A7" s="47">
        <v>5</v>
      </c>
      <c r="B7" s="90" t="s">
        <v>517</v>
      </c>
      <c r="C7" s="91" t="s">
        <v>518</v>
      </c>
      <c r="D7" s="324">
        <v>46177</v>
      </c>
      <c r="E7" s="324">
        <v>46177</v>
      </c>
      <c r="F7" s="51" t="s">
        <v>618</v>
      </c>
    </row>
    <row r="8" spans="1:6" x14ac:dyDescent="0.25">
      <c r="A8" s="47">
        <v>6</v>
      </c>
      <c r="B8" s="274" t="s">
        <v>621</v>
      </c>
      <c r="C8" s="91" t="s">
        <v>319</v>
      </c>
      <c r="D8" s="324">
        <v>46177</v>
      </c>
      <c r="E8" s="324">
        <v>46177</v>
      </c>
      <c r="F8" s="51" t="s">
        <v>618</v>
      </c>
    </row>
    <row r="9" spans="1:6" x14ac:dyDescent="0.25">
      <c r="A9" s="47">
        <v>7</v>
      </c>
      <c r="B9" s="274" t="s">
        <v>186</v>
      </c>
      <c r="C9" s="91" t="s">
        <v>622</v>
      </c>
      <c r="D9" s="323">
        <v>46178</v>
      </c>
      <c r="E9" s="323">
        <v>46178</v>
      </c>
      <c r="F9" s="51" t="s">
        <v>618</v>
      </c>
    </row>
    <row r="10" spans="1:6" x14ac:dyDescent="0.25">
      <c r="A10" s="47">
        <v>8</v>
      </c>
      <c r="B10" s="75" t="s">
        <v>623</v>
      </c>
      <c r="C10" s="92" t="s">
        <v>329</v>
      </c>
      <c r="D10" s="323">
        <v>46178</v>
      </c>
      <c r="E10" s="323">
        <v>46178</v>
      </c>
      <c r="F10" s="51" t="s">
        <v>618</v>
      </c>
    </row>
    <row r="11" spans="1:6" x14ac:dyDescent="0.25">
      <c r="A11" s="47">
        <v>9</v>
      </c>
      <c r="B11" s="75">
        <v>837</v>
      </c>
      <c r="C11" s="91" t="s">
        <v>441</v>
      </c>
      <c r="D11" s="323">
        <v>46181</v>
      </c>
      <c r="E11" s="323">
        <v>46181</v>
      </c>
      <c r="F11" s="51" t="s">
        <v>618</v>
      </c>
    </row>
    <row r="12" spans="1:6" x14ac:dyDescent="0.25">
      <c r="A12" s="47">
        <v>10</v>
      </c>
      <c r="B12" s="35" t="s">
        <v>210</v>
      </c>
      <c r="C12" s="91" t="s">
        <v>624</v>
      </c>
      <c r="D12" s="323">
        <v>46182</v>
      </c>
      <c r="E12" s="323">
        <v>46182</v>
      </c>
      <c r="F12" s="51" t="s">
        <v>618</v>
      </c>
    </row>
    <row r="13" spans="1:6" x14ac:dyDescent="0.25">
      <c r="A13" s="47">
        <v>11</v>
      </c>
      <c r="B13" s="51" t="s">
        <v>625</v>
      </c>
      <c r="C13" s="47" t="s">
        <v>543</v>
      </c>
      <c r="D13" s="323">
        <v>46182</v>
      </c>
      <c r="E13" s="323">
        <v>46182</v>
      </c>
      <c r="F13" s="51" t="s">
        <v>618</v>
      </c>
    </row>
    <row r="14" spans="1:6" x14ac:dyDescent="0.25">
      <c r="A14" s="47">
        <v>12</v>
      </c>
      <c r="B14" s="51" t="s">
        <v>214</v>
      </c>
      <c r="C14" s="47" t="s">
        <v>420</v>
      </c>
      <c r="D14" s="323">
        <v>46183</v>
      </c>
      <c r="E14" s="323">
        <v>46183</v>
      </c>
      <c r="F14" s="51" t="s">
        <v>618</v>
      </c>
    </row>
    <row r="15" spans="1:6" x14ac:dyDescent="0.25">
      <c r="A15" s="47">
        <v>13</v>
      </c>
      <c r="B15" s="51" t="s">
        <v>626</v>
      </c>
      <c r="C15" s="47" t="s">
        <v>499</v>
      </c>
      <c r="D15" s="323">
        <v>46183</v>
      </c>
      <c r="E15" s="323">
        <v>46183</v>
      </c>
      <c r="F15" s="51" t="s">
        <v>618</v>
      </c>
    </row>
    <row r="16" spans="1:6" x14ac:dyDescent="0.25">
      <c r="A16" s="47">
        <v>14</v>
      </c>
      <c r="B16" s="51" t="s">
        <v>627</v>
      </c>
      <c r="C16" s="47" t="s">
        <v>460</v>
      </c>
      <c r="D16" s="323">
        <v>46185</v>
      </c>
      <c r="E16" s="323">
        <v>46185</v>
      </c>
      <c r="F16" s="51" t="s">
        <v>618</v>
      </c>
    </row>
    <row r="17" spans="1:6" x14ac:dyDescent="0.25">
      <c r="A17" s="47">
        <v>15</v>
      </c>
      <c r="B17" s="51" t="s">
        <v>628</v>
      </c>
      <c r="C17" s="47" t="s">
        <v>467</v>
      </c>
      <c r="D17" s="323">
        <v>46185</v>
      </c>
      <c r="E17" s="323">
        <v>46185</v>
      </c>
      <c r="F17" s="51" t="s">
        <v>618</v>
      </c>
    </row>
    <row r="18" spans="1:6" x14ac:dyDescent="0.25">
      <c r="A18" s="47">
        <v>16</v>
      </c>
      <c r="B18" s="51">
        <v>1009</v>
      </c>
      <c r="C18" s="47" t="s">
        <v>487</v>
      </c>
      <c r="D18" s="323">
        <v>46185</v>
      </c>
      <c r="E18" s="323">
        <v>46185</v>
      </c>
      <c r="F18" s="51" t="s">
        <v>618</v>
      </c>
    </row>
    <row r="19" spans="1:6" x14ac:dyDescent="0.25">
      <c r="A19" s="47">
        <v>17</v>
      </c>
      <c r="B19" s="51">
        <v>881</v>
      </c>
      <c r="C19" s="47" t="s">
        <v>464</v>
      </c>
      <c r="D19" s="323">
        <v>46189</v>
      </c>
      <c r="E19" s="323">
        <v>46189</v>
      </c>
      <c r="F19" s="51" t="s">
        <v>618</v>
      </c>
    </row>
    <row r="20" spans="1:6" x14ac:dyDescent="0.25">
      <c r="A20" s="47">
        <v>18</v>
      </c>
      <c r="B20" s="51" t="s">
        <v>629</v>
      </c>
      <c r="C20" s="47" t="s">
        <v>630</v>
      </c>
      <c r="D20" s="323">
        <v>46190</v>
      </c>
      <c r="E20" s="323">
        <v>46190</v>
      </c>
      <c r="F20" s="51" t="s">
        <v>618</v>
      </c>
    </row>
    <row r="21" spans="1:6" x14ac:dyDescent="0.25">
      <c r="A21" s="47">
        <v>19</v>
      </c>
      <c r="B21" s="222">
        <v>985</v>
      </c>
      <c r="C21" s="47" t="s">
        <v>402</v>
      </c>
      <c r="D21" s="323">
        <v>46190</v>
      </c>
      <c r="E21" s="323">
        <v>46191</v>
      </c>
      <c r="F21" s="51" t="s">
        <v>631</v>
      </c>
    </row>
    <row r="22" spans="1:6" x14ac:dyDescent="0.25">
      <c r="A22" s="47">
        <v>20</v>
      </c>
      <c r="B22" s="51">
        <v>881</v>
      </c>
      <c r="C22" s="47" t="s">
        <v>464</v>
      </c>
      <c r="D22" s="323">
        <v>46192</v>
      </c>
      <c r="E22" s="323">
        <v>46192</v>
      </c>
      <c r="F22" s="51" t="s">
        <v>618</v>
      </c>
    </row>
    <row r="23" spans="1:6" x14ac:dyDescent="0.25">
      <c r="A23" s="47">
        <v>21</v>
      </c>
      <c r="B23" s="51">
        <v>606</v>
      </c>
      <c r="C23" s="47" t="s">
        <v>411</v>
      </c>
      <c r="D23" s="323">
        <v>46195</v>
      </c>
      <c r="E23" s="323">
        <v>46195</v>
      </c>
      <c r="F23" s="51" t="s">
        <v>618</v>
      </c>
    </row>
    <row r="24" spans="1:6" x14ac:dyDescent="0.25">
      <c r="A24" s="47">
        <v>22</v>
      </c>
      <c r="B24" s="47" t="s">
        <v>632</v>
      </c>
      <c r="C24" s="47" t="s">
        <v>480</v>
      </c>
      <c r="D24" s="323">
        <v>46197</v>
      </c>
      <c r="E24" s="323">
        <v>46197</v>
      </c>
      <c r="F24" s="51" t="s">
        <v>618</v>
      </c>
    </row>
    <row r="25" spans="1:6" x14ac:dyDescent="0.25">
      <c r="A25" s="47">
        <v>23</v>
      </c>
      <c r="B25" s="51" t="s">
        <v>633</v>
      </c>
      <c r="C25" s="47" t="s">
        <v>351</v>
      </c>
      <c r="D25" s="323">
        <v>46197</v>
      </c>
      <c r="E25" s="323">
        <v>46197</v>
      </c>
      <c r="F25" s="51" t="s">
        <v>618</v>
      </c>
    </row>
    <row r="26" spans="1:6" x14ac:dyDescent="0.25">
      <c r="A26" s="47">
        <v>24</v>
      </c>
      <c r="B26" s="51" t="s">
        <v>634</v>
      </c>
      <c r="C26" s="47" t="s">
        <v>624</v>
      </c>
      <c r="D26" s="323">
        <v>46197</v>
      </c>
      <c r="E26" s="323">
        <v>46197</v>
      </c>
      <c r="F26" s="51" t="s">
        <v>618</v>
      </c>
    </row>
    <row r="27" spans="1:6" x14ac:dyDescent="0.25">
      <c r="A27" s="47">
        <v>25</v>
      </c>
      <c r="B27" s="51" t="s">
        <v>216</v>
      </c>
      <c r="C27" s="47" t="s">
        <v>635</v>
      </c>
      <c r="D27" s="323">
        <v>46197</v>
      </c>
      <c r="E27" s="323">
        <v>46197</v>
      </c>
      <c r="F27" s="51" t="s">
        <v>618</v>
      </c>
    </row>
    <row r="28" spans="1:6" x14ac:dyDescent="0.25">
      <c r="A28" s="47">
        <v>26</v>
      </c>
      <c r="B28" s="51">
        <v>985</v>
      </c>
      <c r="C28" s="47" t="s">
        <v>402</v>
      </c>
      <c r="D28" s="323">
        <v>46198</v>
      </c>
      <c r="E28" s="323">
        <v>46198</v>
      </c>
      <c r="F28" s="51" t="s">
        <v>618</v>
      </c>
    </row>
    <row r="29" spans="1:6" x14ac:dyDescent="0.25">
      <c r="A29" s="47">
        <v>27</v>
      </c>
      <c r="B29" s="51">
        <v>995</v>
      </c>
      <c r="C29" s="47" t="s">
        <v>617</v>
      </c>
      <c r="D29" s="323">
        <v>46202</v>
      </c>
      <c r="E29" s="323">
        <v>46202</v>
      </c>
      <c r="F29" s="51" t="s">
        <v>618</v>
      </c>
    </row>
    <row r="30" spans="1:6" x14ac:dyDescent="0.25">
      <c r="A30" s="47">
        <v>28</v>
      </c>
      <c r="B30" s="47"/>
      <c r="C30" s="47"/>
      <c r="D30" s="47"/>
      <c r="E30" s="47"/>
      <c r="F30" s="47"/>
    </row>
    <row r="31" spans="1:6" x14ac:dyDescent="0.25">
      <c r="A31" s="47">
        <v>29</v>
      </c>
      <c r="B31" s="47"/>
      <c r="C31" s="47"/>
      <c r="D31" s="47"/>
      <c r="E31" s="47"/>
      <c r="F31" s="47"/>
    </row>
    <row r="32" spans="1:6" x14ac:dyDescent="0.25">
      <c r="A32" s="47">
        <v>30</v>
      </c>
      <c r="B32" s="47"/>
      <c r="C32" s="47"/>
      <c r="D32" s="47"/>
      <c r="E32" s="47"/>
      <c r="F32" s="47"/>
    </row>
    <row r="33" spans="1:6" x14ac:dyDescent="0.25">
      <c r="A33" s="47">
        <v>31</v>
      </c>
      <c r="B33" s="47"/>
      <c r="C33" s="47"/>
      <c r="D33" s="47"/>
      <c r="E33" s="47"/>
      <c r="F33" s="47"/>
    </row>
    <row r="34" spans="1:6" x14ac:dyDescent="0.25">
      <c r="A34" s="47">
        <v>32</v>
      </c>
      <c r="B34" s="47"/>
      <c r="C34" s="47"/>
      <c r="D34" s="47"/>
      <c r="E34" s="47"/>
      <c r="F34" s="47"/>
    </row>
    <row r="35" spans="1:6" x14ac:dyDescent="0.25">
      <c r="A35" s="47">
        <v>33</v>
      </c>
      <c r="B35" s="47"/>
      <c r="C35" s="47"/>
      <c r="D35" s="47"/>
      <c r="E35" s="47"/>
      <c r="F35" s="47"/>
    </row>
    <row r="36" spans="1:6" x14ac:dyDescent="0.25">
      <c r="A36" s="47">
        <v>34</v>
      </c>
      <c r="B36" s="47"/>
      <c r="C36" s="47"/>
      <c r="D36" s="47"/>
      <c r="E36" s="47"/>
      <c r="F36" s="47"/>
    </row>
    <row r="37" spans="1:6" x14ac:dyDescent="0.25">
      <c r="A37" s="47">
        <v>35</v>
      </c>
      <c r="B37" s="47"/>
      <c r="C37" s="47"/>
      <c r="D37" s="47"/>
      <c r="E37" s="47"/>
      <c r="F37" s="47"/>
    </row>
    <row r="38" spans="1:6" x14ac:dyDescent="0.25">
      <c r="A38" s="47">
        <v>36</v>
      </c>
      <c r="B38" s="47"/>
      <c r="C38" s="47"/>
      <c r="D38" s="47"/>
      <c r="E38" s="47"/>
      <c r="F38" s="47"/>
    </row>
    <row r="39" spans="1:6" x14ac:dyDescent="0.25">
      <c r="A39" s="47">
        <v>37</v>
      </c>
      <c r="B39" s="47"/>
      <c r="C39" s="47"/>
      <c r="D39" s="47"/>
      <c r="E39" s="47"/>
      <c r="F39" s="47"/>
    </row>
    <row r="40" spans="1:6" x14ac:dyDescent="0.25">
      <c r="A40" s="47">
        <v>38</v>
      </c>
      <c r="B40" s="47"/>
      <c r="C40" s="47"/>
      <c r="D40" s="47"/>
      <c r="E40" s="47"/>
      <c r="F40" s="47"/>
    </row>
    <row r="41" spans="1:6" x14ac:dyDescent="0.25">
      <c r="A41" s="47">
        <v>39</v>
      </c>
      <c r="B41" s="47"/>
      <c r="C41" s="47"/>
      <c r="D41" s="47"/>
      <c r="E41" s="47"/>
      <c r="F41" s="47"/>
    </row>
    <row r="42" spans="1:6" x14ac:dyDescent="0.25">
      <c r="A42" s="47">
        <v>40</v>
      </c>
      <c r="B42" s="47"/>
      <c r="C42" s="47"/>
      <c r="D42" s="47"/>
      <c r="E42" s="47"/>
      <c r="F42" s="47"/>
    </row>
    <row r="43" spans="1:6" x14ac:dyDescent="0.25">
      <c r="A43" s="47">
        <v>41</v>
      </c>
      <c r="B43" s="47"/>
      <c r="C43" s="47"/>
      <c r="D43" s="47"/>
      <c r="E43" s="47"/>
      <c r="F43" s="47"/>
    </row>
    <row r="44" spans="1:6" x14ac:dyDescent="0.25">
      <c r="A44" s="47">
        <v>42</v>
      </c>
      <c r="B44" s="47"/>
      <c r="C44" s="47"/>
      <c r="D44" s="47"/>
      <c r="E44" s="47"/>
      <c r="F44" s="47"/>
    </row>
    <row r="45" spans="1:6" x14ac:dyDescent="0.25">
      <c r="A45" s="47">
        <v>43</v>
      </c>
      <c r="B45" s="47"/>
      <c r="C45" s="47"/>
      <c r="D45" s="47"/>
      <c r="E45" s="47"/>
      <c r="F45" s="47"/>
    </row>
    <row r="46" spans="1:6" x14ac:dyDescent="0.25">
      <c r="A46" s="47">
        <v>44</v>
      </c>
      <c r="B46" s="47"/>
      <c r="C46" s="47"/>
      <c r="D46" s="47"/>
      <c r="E46" s="47"/>
      <c r="F46" s="47"/>
    </row>
    <row r="47" spans="1:6" x14ac:dyDescent="0.25">
      <c r="A47" s="47">
        <v>45</v>
      </c>
      <c r="B47" s="47"/>
      <c r="C47" s="47"/>
      <c r="D47" s="47"/>
      <c r="E47" s="47"/>
      <c r="F47" s="47"/>
    </row>
    <row r="48" spans="1:6" x14ac:dyDescent="0.25">
      <c r="A48" s="47">
        <v>46</v>
      </c>
      <c r="B48" s="47"/>
      <c r="C48" s="47"/>
      <c r="D48" s="47"/>
      <c r="E48" s="47"/>
      <c r="F48" s="47"/>
    </row>
    <row r="49" spans="1:6" x14ac:dyDescent="0.25">
      <c r="A49" s="47">
        <v>47</v>
      </c>
      <c r="B49" s="47"/>
      <c r="C49" s="47"/>
      <c r="D49" s="47"/>
      <c r="E49" s="47"/>
      <c r="F49" s="47"/>
    </row>
    <row r="50" spans="1:6" x14ac:dyDescent="0.25">
      <c r="A50" s="47">
        <v>48</v>
      </c>
      <c r="B50" s="47"/>
      <c r="C50" s="47"/>
      <c r="D50" s="47"/>
      <c r="E50" s="47"/>
      <c r="F50" s="47"/>
    </row>
    <row r="51" spans="1:6" x14ac:dyDescent="0.25">
      <c r="A51" s="47">
        <v>49</v>
      </c>
      <c r="B51" s="47"/>
      <c r="C51" s="47"/>
      <c r="D51" s="47"/>
      <c r="E51" s="47"/>
      <c r="F51" s="47"/>
    </row>
    <row r="52" spans="1:6" x14ac:dyDescent="0.25">
      <c r="A52" s="47">
        <v>50</v>
      </c>
      <c r="B52" s="47"/>
      <c r="C52" s="47"/>
      <c r="D52" s="47"/>
      <c r="E52" s="47"/>
      <c r="F52" s="47"/>
    </row>
    <row r="53" spans="1:6" x14ac:dyDescent="0.25">
      <c r="A53" s="47">
        <v>51</v>
      </c>
      <c r="B53" s="47"/>
      <c r="C53" s="47"/>
      <c r="D53" s="47"/>
      <c r="E53" s="47"/>
      <c r="F53" s="47"/>
    </row>
  </sheetData>
  <mergeCells count="1">
    <mergeCell ref="A1:F1"/>
  </mergeCells>
  <conditionalFormatting sqref="B3">
    <cfRule type="duplicateValues" dxfId="12" priority="13"/>
  </conditionalFormatting>
  <conditionalFormatting sqref="B4">
    <cfRule type="duplicateValues" dxfId="11" priority="12"/>
  </conditionalFormatting>
  <conditionalFormatting sqref="B5">
    <cfRule type="duplicateValues" dxfId="10" priority="11"/>
  </conditionalFormatting>
  <conditionalFormatting sqref="B6">
    <cfRule type="duplicateValues" dxfId="9" priority="10"/>
  </conditionalFormatting>
  <conditionalFormatting sqref="B7">
    <cfRule type="duplicateValues" dxfId="8" priority="8"/>
  </conditionalFormatting>
  <conditionalFormatting sqref="B8:B9">
    <cfRule type="duplicateValues" dxfId="7" priority="7"/>
  </conditionalFormatting>
  <conditionalFormatting sqref="B9">
    <cfRule type="duplicateValues" dxfId="6" priority="6"/>
  </conditionalFormatting>
  <conditionalFormatting sqref="B10">
    <cfRule type="duplicateValues" dxfId="5" priority="4"/>
  </conditionalFormatting>
  <conditionalFormatting sqref="B11">
    <cfRule type="duplicateValues" dxfId="4" priority="2"/>
    <cfRule type="duplicateValues" dxfId="3" priority="3"/>
  </conditionalFormatting>
  <conditionalFormatting sqref="B12">
    <cfRule type="duplicateValues" dxfId="2" priority="1"/>
  </conditionalFormatting>
  <conditionalFormatting sqref="B6:C6">
    <cfRule type="expression" dxfId="1" priority="9">
      <formula>CELL("row")=ROW()</formula>
    </cfRule>
  </conditionalFormatting>
  <conditionalFormatting sqref="B8:C9">
    <cfRule type="expression" dxfId="0" priority="5">
      <formula>CELL("row")=ROW()</formula>
    </cfRule>
  </conditionalFormatting>
  <dataValidations count="1">
    <dataValidation allowBlank="1" showInputMessage="1" showErrorMessage="1" errorTitle="First Name" error="Please type correct value" promptTitle="First Name" prompt="Please enter maximum 15 Letter, not allowed to leave it blank or to use only - or ." sqref="C3 C5:C6 C8:C11" xr:uid="{7C758C3B-FAFB-42C5-B168-03CBC0AF44EE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MAY 2024 - Working File </vt:lpstr>
      <vt:lpstr>JUNE Working File  (2)</vt:lpstr>
      <vt:lpstr>ID</vt:lpstr>
      <vt:lpstr>Mistake</vt:lpstr>
      <vt:lpstr>Monthly Report</vt:lpstr>
      <vt:lpstr>Time sheet - all</vt:lpstr>
      <vt:lpstr>SL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Eleonor Retotar</dc:creator>
  <cp:keywords/>
  <dc:description/>
  <cp:lastModifiedBy>HAREESH KAKKANATT MANI NAIR</cp:lastModifiedBy>
  <cp:revision/>
  <cp:lastPrinted>2025-05-12T04:59:09Z</cp:lastPrinted>
  <dcterms:created xsi:type="dcterms:W3CDTF">2024-04-02T08:28:56Z</dcterms:created>
  <dcterms:modified xsi:type="dcterms:W3CDTF">2026-07-21T06:00:11Z</dcterms:modified>
  <cp:category/>
  <cp:contentStatus/>
</cp:coreProperties>
</file>