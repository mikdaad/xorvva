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Tracker" sheetId="1" state="visible" r:id="rId3"/>
    <sheet name="Summary" sheetId="2" state="visible" r:id="rId4"/>
    <sheet name="How To U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<sst xmlns="http://schemas.openxmlformats.org/spreadsheetml/2006/main" count="178" uniqueCount="178">
  <si>
    <t xml:space="preserve">Test Name</t>
  </si>
  <si>
    <t xml:space="preserve">Unit Test</t>
  </si>
  <si>
    <t xml:space="preserve">Integration Test</t>
  </si>
  <si>
    <t xml:space="preserve">API Test (Postman)</t>
  </si>
  <si>
    <t xml:space="preserve">Security Test</t>
  </si>
  <si>
    <t xml:space="preserve">UAT</t>
  </si>
  <si>
    <t xml:space="preserve">Regression Test</t>
  </si>
  <si>
    <t xml:space="preserve">Notes</t>
  </si>
  <si>
    <t xml:space="preserve">Auth</t>
  </si>
  <si>
    <t xml:space="preserve">      Login (JWT issued correctly)</t>
  </si>
  <si>
    <t xml:space="preserve">FALSE</t>
  </si>
  <si>
    <t xml:space="preserve">      Registration / Invite user</t>
  </si>
  <si>
    <t xml:space="preserve">      Token refresh</t>
  </si>
  <si>
    <t xml:space="preserve">      Token expiry enforcement</t>
  </si>
  <si>
    <t xml:space="preserve">      Logout / token revocation</t>
  </si>
  <si>
    <t xml:space="preserve">      Role assignment (SuperAdmin/CompanyAdmin/Manager/Employee)</t>
  </si>
  <si>
    <t xml:space="preserve">      Password hashing verification</t>
  </si>
  <si>
    <t xml:space="preserve">HR</t>
  </si>
  <si>
    <t xml:space="preserve">      Create employee</t>
  </si>
  <si>
    <t xml:space="preserve">      Update employee</t>
  </si>
  <si>
    <t xml:space="preserve">      List employees (pagination + filter)</t>
  </si>
  <si>
    <t xml:space="preserve">      Department CRUD</t>
  </si>
  <si>
    <t xml:space="preserve">      Attendance check-in/out</t>
  </si>
  <si>
    <t xml:space="preserve">      Leave request submission</t>
  </si>
  <si>
    <t xml:space="preserve">      Leave approval — full multi-step flow</t>
  </si>
  <si>
    <t xml:space="preserve">      Leave rejection — halts remaining steps</t>
  </si>
  <si>
    <t xml:space="preserve">      Salary field access restriction (Manager cannot view)</t>
  </si>
  <si>
    <t xml:space="preserve">      Data isolation between companies (Employee)</t>
  </si>
  <si>
    <t xml:space="preserve">      Audit log entry created on employee update</t>
  </si>
  <si>
    <t xml:space="preserve">Approvals</t>
  </si>
  <si>
    <t xml:space="preserve">      Approval workflow config creation</t>
  </si>
  <si>
    <t xml:space="preserve">      Approval request created on submit</t>
  </si>
  <si>
    <t xml:space="preserve">      Sequential step progression (Step 1 → Step 2)</t>
  </si>
  <si>
    <t xml:space="preserve">      Rejection at any step halts remaining steps</t>
  </si>
  <si>
    <t xml:space="preserve">      Notification sent to correct approver</t>
  </si>
  <si>
    <t xml:space="preserve">      Amount-threshold conditional step</t>
  </si>
  <si>
    <t xml:space="preserve">      New module registers its transaction type automatically</t>
  </si>
  <si>
    <t xml:space="preserve">Accounting — Stage 1 (Foundation)</t>
  </si>
  <si>
    <t xml:space="preserve">      Chart of Accounts — industry template seeding</t>
  </si>
  <si>
    <t xml:space="preserve">      Chart of Accounts — custom edit (rename/add/deactivate)</t>
  </si>
  <si>
    <t xml:space="preserve">      Journal Entry creation (balanced)</t>
  </si>
  <si>
    <t xml:space="preserve">      Double-entry validation (rejects unbalanced entry)</t>
  </si>
  <si>
    <t xml:space="preserve">      Journal Entry posting</t>
  </si>
  <si>
    <t xml:space="preserve">      Journal Entry void/reverse (no direct edit)</t>
  </si>
  <si>
    <t xml:space="preserve">      Fiscal Year / Period setup</t>
  </si>
  <si>
    <t xml:space="preserve">      Period locking (cannot edit closed period)</t>
  </si>
  <si>
    <t xml:space="preserve">      Tax / VAT rate setup</t>
  </si>
  <si>
    <t xml:space="preserve">      Data isolation between companies (Accounts/Journals)</t>
  </si>
  <si>
    <t xml:space="preserve">Module</t>
  </si>
  <si>
    <t xml:space="preserve">Test Count</t>
  </si>
  <si>
    <t xml:space="preserve">Unit %</t>
  </si>
  <si>
    <t xml:space="preserve">Integration %</t>
  </si>
  <si>
    <t xml:space="preserve">API (Postman) %</t>
  </si>
  <si>
    <t xml:space="preserve">Security %</t>
  </si>
  <si>
    <t xml:space="preserve">UAT %</t>
  </si>
  <si>
    <t xml:space="preserve">Regression %</t>
  </si>
  <si>
    <t xml:space="preserve">Overall Completion</t>
  </si>
  <si>
    <t xml:space="preserve">TOTAL PROJECT (all modules)</t>
  </si>
  <si>
    <t xml:space="preserve">How to use this test tracker</t>
  </si>
  <si>
    <t xml:space="preserve">- Each light-blue row is a Module header — a label only, no values entered on it.</t>
  </si>
  <si>
    <t xml:space="preserve">- The rows underneath it are the individual test cases inside that module.</t>
  </si>
  <si>
    <t xml:space="preserve">- For each test-type column (Unit / Integration / API / Security / UAT / Regression), pick TRUE or FALSE from the cell's dropdown.</t>
  </si>
  <si>
    <t xml:space="preserve">- TRUE = tested and passed. FALSE = not tested yet, or failed — update it as soon as the test is completed.</t>
  </si>
  <si>
    <t xml:space="preserve">- Green fills in automatically for TRUE, red for FALSE — for a quick visual scan of project status.</t>
  </si>
  <si>
    <t xml:space="preserve">- The Notes column (last column) is for any detail: reason for failure, bug number, or any comment.</t>
  </si>
  <si>
    <t xml:space="preserve">- The Summary sheet automatically calculates completion % per module and per test type, plus the total project % at the bottom — it updates itself from the Test Tracker sheet, no manual editing needed.</t>
  </si>
  <si>
    <t xml:space="preserve">Test types used (industry-standard categories):</t>
  </si>
  <si>
    <t xml:space="preserve">Unit Test - Tests a single piece of code (a function or class) in isolation.</t>
  </si>
  <si>
    <t xml:space="preserve">Integration Test - Tests multiple parts working together (e.g. service + database).</t>
  </si>
  <si>
    <t xml:space="preserve">API Test (Postman) - Tests API endpoints directly by sending real requests and checking the response.</t>
  </si>
  <si>
    <t xml:space="preserve">Security Test - Tests permissions and data isolation (e.g. a user from Company A cannot see Company B's data).</t>
  </si>
  <si>
    <t xml:space="preserve">UAT (User Acceptance Testing) - Tests from the actual user's perspective, confirming the feature solves the real problem.</t>
  </si>
  <si>
    <t xml:space="preserve">Regression Test - Re-tests older features to confirm a new addition didn't break something that already worked.</t>
  </si>
  <si>
    <t xml:space="preserve">TRUE</t>
  </si>
  <si>
    <t xml:space="preserve">LoginUserCommandHandlerTests; login drives every integration suite</t>
  </si>
  <si>
    <t xml:space="preserve">RegisterUserCommandHandlerTests; users registered across HR/Accounting integration</t>
  </si>
  <si>
    <t xml:space="preserve">RefreshTokenCommandHandlerTests.RotatesTokens</t>
  </si>
  <si>
    <t xml:space="preserve">RefreshTokenCommandHandlerTests.WithExpiredToken_ThrowsUnauthorized</t>
  </si>
  <si>
    <t xml:space="preserve">RefreshTokenCommandHandlerTests.WithRevokedToken revokes all sessions</t>
  </si>
  <si>
    <t xml:space="preserve">RegisterUserCommandHandlerTests: cannot create equal/higher role; forced into own company</t>
  </si>
  <si>
    <t xml:space="preserve">LoginUserCommandHandlerTests: wrong password rejected (hashed verify)</t>
  </si>
  <si>
    <t xml:space="preserve">Tenancy &amp; Multi-Company</t>
  </si>
  <si>
    <t xml:space="preserve">Tenant registration (atomic: tenant + company + CEO)</t>
  </si>
  <si>
    <t xml:space="preserve">RegisterTenantCommandHandlerTests.Atomically; TenantIsolationTests signup</t>
  </si>
  <si>
    <t xml:space="preserve">Company create / list (SuperAdmin all, Admin own)</t>
  </si>
  <si>
    <t xml:space="preserve">CompanyAndBranchHandlerTests.ListCompanies_SuperAdmin_SeesAll_CompanyAdmin_SeesOwnOnly</t>
  </si>
  <si>
    <t xml:space="preserve">Cross-tenant data isolation (query filter, physical)</t>
  </si>
  <si>
    <t xml:space="preserve">TenantIsolationTests.TwoTenants_CanNeverSeeOrTouch; BranchQueryFilter_ConfinesUsersToTenant</t>
  </si>
  <si>
    <t xml:space="preserve">Duplicate email across tenants rejected</t>
  </si>
  <si>
    <t xml:space="preserve">RegisterTenant conflict; TenantIsolationTests.DuplicateEmailAcrossTenants</t>
  </si>
  <si>
    <t xml:space="preserve">EmployeeHandlerTests.Create_GeneratesEmployeeCode; HRModuleTests.PersonRegistry</t>
  </si>
  <si>
    <t xml:space="preserve">EmployeeHandlerTests.Update_ChangesEditableFields</t>
  </si>
  <si>
    <t xml:space="preserve">EmployeeHandlerTests.List_ReturnsEmployees_WithPagingAndSearch; HRModuleTests</t>
  </si>
  <si>
    <t xml:space="preserve">HRModuleTests.SetupOrg creates department + designation</t>
  </si>
  <si>
    <t xml:space="preserve">not in scope yet</t>
  </si>
  <si>
    <t xml:space="preserve">HRModuleTests.Leave_Apply_ConsumesBalance</t>
  </si>
  <si>
    <t xml:space="preserve">approval engine proven separately; leave multi-step test pending</t>
  </si>
  <si>
    <t xml:space="preserve">approval reject proven (ApprovalEngineTests); leave-specific pending</t>
  </si>
  <si>
    <t xml:space="preserve">EmployeeHandlerTests.Salary_IsVisibleToAdmin_ButHiddenFromManager</t>
  </si>
  <si>
    <t xml:space="preserve">global CompanyEntity filter (BranchQueryFilter, TenantIsolationTests)</t>
  </si>
  <si>
    <t xml:space="preserve">audit fields auto-set on save; assertion pending</t>
  </si>
  <si>
    <t xml:space="preserve">New-hire approval (202 -&gt; approve -&gt; employee created)</t>
  </si>
  <si>
    <t xml:space="preserve">HRModuleTests.CreateEmployee_TriggersApproval_WhenRuleExists</t>
  </si>
  <si>
    <t xml:space="preserve">ApprovalEngineTests create rule; DuplicateActiveRule_IsForbidden</t>
  </si>
  <si>
    <t xml:space="preserve">ApprovalEngineTests.Submit_IsQueued_ThenApproval</t>
  </si>
  <si>
    <t xml:space="preserve">single-approver flows tested; multi-step chain test pending</t>
  </si>
  <si>
    <t xml:space="preserve">ApprovalEngineTests.Reject_TerminatesRequest_AndDoesNotExecute</t>
  </si>
  <si>
    <t xml:space="preserve">no notifications feature yet</t>
  </si>
  <si>
    <t xml:space="preserve">AmountThresholdTests (at/above queues, below runs, null always, resolvers)</t>
  </si>
  <si>
    <t xml:space="preserve">ApprovableActionsTests; accounting post gated in AccountingCycleTests</t>
  </si>
  <si>
    <t xml:space="preserve">Requester outranks approver -&gt; auto-executes</t>
  </si>
  <si>
    <t xml:space="preserve">ApprovalEngineTests.RequesterOutranksApprover_AutoSkips</t>
  </si>
  <si>
    <t xml:space="preserve">Approved action that fails is recorded, not lost</t>
  </si>
  <si>
    <t xml:space="preserve">ApprovalEngineTests.ApprovedButExecutionFails_IsRecorded</t>
  </si>
  <si>
    <t xml:space="preserve">ChartOfAccountsTests.Seed_*; AccountingCycleTests seeds CoA over HTTP</t>
  </si>
  <si>
    <t xml:space="preserve">create/update/deactivate built; automated test pending</t>
  </si>
  <si>
    <t xml:space="preserve">JournalPosterTests.Post_BalancedJournal_CreatesEntry</t>
  </si>
  <si>
    <t xml:space="preserve">JournalPosterTests.Post_UnbalancedJournal_IsRejected; both debit+credit rejected</t>
  </si>
  <si>
    <t xml:space="preserve">JournalPosterTests; AccountingCycleTests posts the invoice journal</t>
  </si>
  <si>
    <t xml:space="preserve">JournalPosterTests.Void_PostsReversal; Void_AlreadyVoided_IsRejected</t>
  </si>
  <si>
    <t xml:space="preserve">FiscalCloseTests.CreateFiscalYear_Creates12Periods</t>
  </si>
  <si>
    <t xml:space="preserve">FiscalCloseTests.ClosedPeriod_BlocksPostingIntoIt</t>
  </si>
  <si>
    <t xml:space="preserve">SeedTaxRates; VAT drives InvoicePosting/BillPosting recipes</t>
  </si>
  <si>
    <t xml:space="preserve">AccountingCycleTests.CeoConsolidation proves cross-tenant invisibility</t>
  </si>
  <si>
    <t xml:space="preserve">Accounting - Stage 2 (Sales &amp; Purchases)</t>
  </si>
  <si>
    <t xml:space="preserve">Invoice - create draft + post (DR AR / CR Sales / CR VAT)</t>
  </si>
  <si>
    <t xml:space="preserve">InvoicePostingTests.Post_Invoice_ProducesExactRecipe; AccountingCycleTests</t>
  </si>
  <si>
    <t xml:space="preserve">Invoice - void (reversing journal, balance cleared)</t>
  </si>
  <si>
    <t xml:space="preserve">InvoicePostingTests.Void_PostedInvoice_ReversesJournal</t>
  </si>
  <si>
    <t xml:space="preserve">Invoice - posting approval-gated (202 -&gt; approve -&gt; journal)</t>
  </si>
  <si>
    <t xml:space="preserve">AccountingCycleTests.PostingInvoice_IsApprovalGated; ApprovableActionsTests</t>
  </si>
  <si>
    <t xml:space="preserve">Customer payment - allocation (full/partial; over-alloc rejected)</t>
  </si>
  <si>
    <t xml:space="preserve">CustomerPaymentTests (full/partial/over); AccountingCycleTests pays invoice</t>
  </si>
  <si>
    <t xml:space="preserve">Credit note - reverses revenue / VAT / receivable</t>
  </si>
  <si>
    <t xml:space="preserve">CreditNoteTests.CreditNote_ReversesRevenueVatAndReceivable</t>
  </si>
  <si>
    <t xml:space="preserve">Bill - post (DR Expense / DR VAT-Input / CR Payable)</t>
  </si>
  <si>
    <t xml:space="preserve">BillPostingTests.Post_Bill_ProducesExactRecipe</t>
  </si>
  <si>
    <t xml:space="preserve">Supplier payment - settles bill, reduces payable</t>
  </si>
  <si>
    <t xml:space="preserve">BillPostingTests.PaySupplier_SettlesBill_AndReducesPayable</t>
  </si>
  <si>
    <t xml:space="preserve">Debit note - reverses expense / VAT / payable</t>
  </si>
  <si>
    <t xml:space="preserve">DebitNoteTests.DebitNote_ReversesExpenseInputVatAndPayable</t>
  </si>
  <si>
    <t xml:space="preserve">Accounting - Stage 3 (Statements &amp; Reporting)</t>
  </si>
  <si>
    <t xml:space="preserve">Trial Balance (from posted lines; debits = credits)</t>
  </si>
  <si>
    <t xml:space="preserve">JournalPosterTests.TrialBalance_AfterPosting_Balances</t>
  </si>
  <si>
    <t xml:space="preserve">Profit &amp; Loss (revenue - expenses)</t>
  </si>
  <si>
    <t xml:space="preserve">StatementsTests.ProfitAndLoss_ShowsRevenue_AndNetProfit; AccountingCycleTests</t>
  </si>
  <si>
    <t xml:space="preserve">Balance Sheet (Assets = Liabilities + Equity + earnings)</t>
  </si>
  <si>
    <t xml:space="preserve">StatementsTests.BalanceSheet_Balances_WithCurrentYearEarnings</t>
  </si>
  <si>
    <t xml:space="preserve">Cash Flow (inflows / outflows / closing)</t>
  </si>
  <si>
    <t xml:space="preserve">CashFlowTests.CashFlow_ReportsInflowsOutflows_AndClosing</t>
  </si>
  <si>
    <t xml:space="preserve">VAT Return (output - input)</t>
  </si>
  <si>
    <t xml:space="preserve">BillPostingTests.VatReturn_NetsOutputMinusInput</t>
  </si>
  <si>
    <t xml:space="preserve">Multi-company consolidation (CEO - all companies)</t>
  </si>
  <si>
    <t xml:space="preserve">AccountingCycleTests.CeoConsolidation_SumsCompanies_AndNeverCrossesTenant</t>
  </si>
  <si>
    <t xml:space="preserve">General Ledger (per-account, running balance)</t>
  </si>
  <si>
    <t xml:space="preserve">built; automated test pending</t>
  </si>
  <si>
    <t xml:space="preserve">Aged AR/AP + Finance dashboard</t>
  </si>
  <si>
    <t xml:space="preserve">Accounting - Stage 4 (Advanced &amp; Compliance)</t>
  </si>
  <si>
    <t xml:space="preserve">Opening balances -&gt; Retained Earnings</t>
  </si>
  <si>
    <t xml:space="preserve">OpeningBalancesTests.Post_SetsBalances_AndBalancesToRetainedEarnings</t>
  </si>
  <si>
    <t xml:space="preserve">Year-end close (P&amp;L -&gt; Retained Earnings, zeroes P&amp;L)</t>
  </si>
  <si>
    <t xml:space="preserve">FiscalCloseTests.CloseYear_RollsNetProfitToRetainedEarnings</t>
  </si>
  <si>
    <t xml:space="preserve">Fixed assets - straight-line depreciation (monthly)</t>
  </si>
  <si>
    <t xml:space="preserve">DepreciationTests.RunDepreciation_PostsMonthlyStraightLine</t>
  </si>
  <si>
    <t xml:space="preserve">Bank reconciliation (reconciled vs ledger balance)</t>
  </si>
  <si>
    <t xml:space="preserve">BankReconciliationTests.Reconciliation_TracksReconciledVsLedgerBalance</t>
  </si>
  <si>
    <t xml:space="preserve">Payroll pay-run -&gt; salary journal (via IJournalPoster)</t>
  </si>
  <si>
    <t xml:space="preserve">PayrollTests.PostPayRun_PostsSalaryJournal_ViaJournalPoster</t>
  </si>
  <si>
    <t xml:space="preserve">E-invoicing export (UBL 2.1 / PINT AE)</t>
  </si>
  <si>
    <t xml:space="preserve">EInvoiceExportTests.Export_ProducesValidUbl_WithPintAeAndCorrectTotals</t>
  </si>
  <si>
    <t xml:space="preserve">Multi-currency - foreign invoice/bill posts in base at rate</t>
  </si>
  <si>
    <t xml:space="preserve">MultiCurrencyTests.ForeignInvoice_PostsLedgerInBaseCurrency_AtResolvedRate</t>
  </si>
  <si>
    <t xml:space="preserve">Multi-currency - realized FX gain/loss on settlement</t>
  </si>
  <si>
    <t xml:space="preserve">MultiCurrencyTests customer/supplier FX gain and loss</t>
  </si>
  <si>
    <t xml:space="preserve">Unrealized FX revaluation (period-end, auto-reverses)</t>
  </si>
  <si>
    <t xml:space="preserve">MultiCurrencyTests.Revaluation_* (gain, loss, none, duplicate guard)</t>
  </si>
  <si>
    <t xml:space="preserve">Department-function access (Accounting-dept manager = accountant)</t>
  </si>
  <si>
    <t xml:space="preserve">AccountingAccessTests (accounting-dept manager has access; others do not)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</si>
</sst>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C7D2FE"/>
        <bgColor rgb="FFD1D5DB"/>
      </patternFill>
    </fill>
    <fill>
      <patternFill patternType="solid">
        <fgColor rgb="FFF3F4F6"/>
        <bgColor rgb="FFFFFFFF"/>
      </patternFill>
    </fill>
    <fill>
      <patternFill patternType="solid">
        <fgColor rgb="FFE5E7EB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1D5DB"/>
      <rgbColor rgb="FF808080"/>
      <rgbColor rgb="FF9999FF"/>
      <rgbColor rgb="FF993366"/>
      <rgbColor rgb="FFF3F4F6"/>
      <rgbColor rgb="FFE5E7EB"/>
      <rgbColor rgb="FF660066"/>
      <rgbColor rgb="FFFF8080"/>
      <rgbColor rgb="FF0066CC"/>
      <rgbColor rgb="FFC7D2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6"/>
    <col collapsed="false" customWidth="true" hidden="false" outlineLevel="0" max="8" min="8" style="0" width="3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9</v>
      </c>
      <c r="B3" s="4" t="s">
        <v>73</v>
      </c>
      <c r="C3" s="4" t="s">
        <v>73</v>
      </c>
      <c r="D3" s="4" t="s">
        <v>10</v>
      </c>
      <c r="E3" s="4" t="s">
        <v>10</v>
      </c>
      <c r="F3" s="4" t="s">
        <v>10</v>
      </c>
      <c r="G3" s="4" t="s">
        <v>10</v>
      </c>
      <c r="H3" s="5" t="s">
        <v>74</v>
      </c>
    </row>
    <row r="4" customFormat="false" ht="15" hidden="false" customHeight="false" outlineLevel="0" collapsed="false">
      <c r="A4" s="6" t="s">
        <v>11</v>
      </c>
      <c r="B4" s="7" t="s">
        <v>73</v>
      </c>
      <c r="C4" s="7" t="s">
        <v>73</v>
      </c>
      <c r="D4" s="7" t="s">
        <v>10</v>
      </c>
      <c r="E4" s="7" t="s">
        <v>10</v>
      </c>
      <c r="F4" s="7" t="s">
        <v>10</v>
      </c>
      <c r="G4" s="7" t="s">
        <v>10</v>
      </c>
      <c r="H4" s="8" t="s">
        <v>75</v>
      </c>
    </row>
    <row r="5" customFormat="false" ht="15" hidden="false" customHeight="false" outlineLevel="0" collapsed="false">
      <c r="A5" s="3" t="s">
        <v>12</v>
      </c>
      <c r="B5" s="4" t="s">
        <v>73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5" t="s">
        <v>76</v>
      </c>
    </row>
    <row r="6" customFormat="false" ht="15" hidden="false" customHeight="false" outlineLevel="0" collapsed="false">
      <c r="A6" s="6" t="s">
        <v>13</v>
      </c>
      <c r="B6" s="7" t="s">
        <v>73</v>
      </c>
      <c r="C6" s="7" t="s">
        <v>10</v>
      </c>
      <c r="D6" s="7" t="s">
        <v>10</v>
      </c>
      <c r="E6" s="7" t="s">
        <v>10</v>
      </c>
      <c r="F6" s="7" t="s">
        <v>10</v>
      </c>
      <c r="G6" s="7" t="s">
        <v>10</v>
      </c>
      <c r="H6" s="8" t="s">
        <v>77</v>
      </c>
    </row>
    <row r="7" customFormat="false" ht="15" hidden="false" customHeight="false" outlineLevel="0" collapsed="false">
      <c r="A7" s="3" t="s">
        <v>14</v>
      </c>
      <c r="B7" s="4" t="s">
        <v>73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5" t="s">
        <v>78</v>
      </c>
    </row>
    <row r="8" customFormat="false" ht="15" hidden="false" customHeight="false" outlineLevel="0" collapsed="false">
      <c r="A8" s="6" t="s">
        <v>15</v>
      </c>
      <c r="B8" s="7" t="s">
        <v>73</v>
      </c>
      <c r="C8" s="7" t="s">
        <v>10</v>
      </c>
      <c r="D8" s="7" t="s">
        <v>10</v>
      </c>
      <c r="E8" s="7" t="s">
        <v>10</v>
      </c>
      <c r="F8" s="7" t="s">
        <v>10</v>
      </c>
      <c r="G8" s="7" t="s">
        <v>10</v>
      </c>
      <c r="H8" s="8" t="s">
        <v>79</v>
      </c>
    </row>
    <row r="9" customFormat="false" ht="15" hidden="false" customHeight="false" outlineLevel="0" collapsed="false">
      <c r="A9" s="3" t="s">
        <v>16</v>
      </c>
      <c r="B9" s="4" t="s">
        <v>73</v>
      </c>
      <c r="C9" s="4" t="s">
        <v>10</v>
      </c>
      <c r="D9" s="4" t="s">
        <v>10</v>
      </c>
      <c r="E9" s="4" t="s">
        <v>73</v>
      </c>
      <c r="F9" s="4" t="s">
        <v>10</v>
      </c>
      <c r="G9" s="4" t="s">
        <v>10</v>
      </c>
      <c r="H9" s="5" t="s">
        <v>80</v>
      </c>
    </row>
    <row r="10" customFormat="false" ht="15" hidden="false" customHeight="false" outlineLevel="0" collapsed="false">
      <c r="A10" s="2" t="s">
        <v>81</v>
      </c>
      <c r="B10" s="2"/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A11" s="3" t="s">
        <v>82</v>
      </c>
      <c r="B11" s="4" t="s">
        <v>73</v>
      </c>
      <c r="C11" s="4" t="s">
        <v>73</v>
      </c>
      <c r="D11" s="4" t="s">
        <v>10</v>
      </c>
      <c r="E11" s="4" t="s">
        <v>10</v>
      </c>
      <c r="F11" s="4" t="s">
        <v>10</v>
      </c>
      <c r="G11" s="4" t="s">
        <v>10</v>
      </c>
      <c r="H11" s="5" t="s">
        <v>83</v>
      </c>
    </row>
    <row r="12" customFormat="false" ht="15" hidden="false" customHeight="false" outlineLevel="0" collapsed="false">
      <c r="A12" s="6" t="s">
        <v>84</v>
      </c>
      <c r="B12" s="7" t="s">
        <v>73</v>
      </c>
      <c r="C12" s="7" t="s">
        <v>10</v>
      </c>
      <c r="D12" s="7" t="s">
        <v>10</v>
      </c>
      <c r="E12" s="7" t="s">
        <v>10</v>
      </c>
      <c r="F12" s="7" t="s">
        <v>10</v>
      </c>
      <c r="G12" s="7" t="s">
        <v>10</v>
      </c>
      <c r="H12" s="8" t="s">
        <v>85</v>
      </c>
    </row>
    <row r="13" customFormat="false" ht="15" hidden="false" customHeight="false" outlineLevel="0" collapsed="false">
      <c r="A13" s="3" t="s">
        <v>86</v>
      </c>
      <c r="B13" s="4" t="s">
        <v>73</v>
      </c>
      <c r="C13" s="4" t="s">
        <v>73</v>
      </c>
      <c r="D13" s="4" t="s">
        <v>10</v>
      </c>
      <c r="E13" s="4" t="s">
        <v>73</v>
      </c>
      <c r="F13" s="4" t="s">
        <v>10</v>
      </c>
      <c r="G13" s="4" t="s">
        <v>10</v>
      </c>
      <c r="H13" s="5" t="s">
        <v>87</v>
      </c>
    </row>
    <row r="14" customFormat="false" ht="15" hidden="false" customHeight="false" outlineLevel="0" collapsed="false">
      <c r="A14" s="6" t="s">
        <v>88</v>
      </c>
      <c r="B14" s="7" t="s">
        <v>73</v>
      </c>
      <c r="C14" s="7" t="s">
        <v>73</v>
      </c>
      <c r="D14" s="7" t="s">
        <v>10</v>
      </c>
      <c r="E14" s="7" t="s">
        <v>10</v>
      </c>
      <c r="F14" s="7" t="s">
        <v>10</v>
      </c>
      <c r="G14" s="7" t="s">
        <v>10</v>
      </c>
      <c r="H14" s="8" t="s">
        <v>89</v>
      </c>
    </row>
    <row r="15" customFormat="false" ht="15" hidden="false" customHeight="false" outlineLevel="0" collapsed="false">
      <c r="A15" s="2" t="s">
        <v>17</v>
      </c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6" t="s">
        <v>18</v>
      </c>
      <c r="B16" s="7" t="s">
        <v>73</v>
      </c>
      <c r="C16" s="7" t="s">
        <v>73</v>
      </c>
      <c r="D16" s="7" t="s">
        <v>10</v>
      </c>
      <c r="E16" s="7" t="s">
        <v>10</v>
      </c>
      <c r="F16" s="7" t="s">
        <v>10</v>
      </c>
      <c r="G16" s="7" t="s">
        <v>10</v>
      </c>
      <c r="H16" s="8" t="s">
        <v>90</v>
      </c>
    </row>
    <row r="17" customFormat="false" ht="15" hidden="false" customHeight="false" outlineLevel="0" collapsed="false">
      <c r="A17" s="3" t="s">
        <v>19</v>
      </c>
      <c r="B17" s="4" t="s">
        <v>73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5" t="s">
        <v>91</v>
      </c>
    </row>
    <row r="18" customFormat="false" ht="15" hidden="false" customHeight="false" outlineLevel="0" collapsed="false">
      <c r="A18" s="6" t="s">
        <v>20</v>
      </c>
      <c r="B18" s="7" t="s">
        <v>73</v>
      </c>
      <c r="C18" s="7" t="s">
        <v>73</v>
      </c>
      <c r="D18" s="7" t="s">
        <v>10</v>
      </c>
      <c r="E18" s="7" t="s">
        <v>10</v>
      </c>
      <c r="F18" s="7" t="s">
        <v>10</v>
      </c>
      <c r="G18" s="7" t="s">
        <v>10</v>
      </c>
      <c r="H18" s="8" t="s">
        <v>92</v>
      </c>
    </row>
    <row r="19" customFormat="false" ht="15" hidden="false" customHeight="false" outlineLevel="0" collapsed="false">
      <c r="A19" s="3" t="s">
        <v>21</v>
      </c>
      <c r="B19" s="4" t="s">
        <v>10</v>
      </c>
      <c r="C19" s="4" t="s">
        <v>73</v>
      </c>
      <c r="D19" s="4" t="s">
        <v>10</v>
      </c>
      <c r="E19" s="4" t="s">
        <v>10</v>
      </c>
      <c r="F19" s="4" t="s">
        <v>10</v>
      </c>
      <c r="G19" s="4" t="s">
        <v>10</v>
      </c>
      <c r="H19" s="5" t="s">
        <v>93</v>
      </c>
    </row>
    <row r="20" customFormat="false" ht="15" hidden="false" customHeight="false" outlineLevel="0" collapsed="false">
      <c r="A20" s="6" t="s">
        <v>22</v>
      </c>
      <c r="B20" s="7" t="s">
        <v>10</v>
      </c>
      <c r="C20" s="7" t="s">
        <v>10</v>
      </c>
      <c r="D20" s="7" t="s">
        <v>10</v>
      </c>
      <c r="E20" s="7" t="s">
        <v>10</v>
      </c>
      <c r="F20" s="7" t="s">
        <v>10</v>
      </c>
      <c r="G20" s="7" t="s">
        <v>10</v>
      </c>
      <c r="H20" s="8" t="s">
        <v>94</v>
      </c>
    </row>
    <row r="21" customFormat="false" ht="15" hidden="false" customHeight="false" outlineLevel="0" collapsed="false">
      <c r="A21" s="3" t="s">
        <v>23</v>
      </c>
      <c r="B21" s="4" t="s">
        <v>10</v>
      </c>
      <c r="C21" s="4" t="s">
        <v>73</v>
      </c>
      <c r="D21" s="4" t="s">
        <v>10</v>
      </c>
      <c r="E21" s="4" t="s">
        <v>10</v>
      </c>
      <c r="F21" s="4" t="s">
        <v>10</v>
      </c>
      <c r="G21" s="4" t="s">
        <v>10</v>
      </c>
      <c r="H21" s="5" t="s">
        <v>95</v>
      </c>
    </row>
    <row r="22" customFormat="false" ht="15" hidden="false" customHeight="false" outlineLevel="0" collapsed="false">
      <c r="A22" s="6" t="s">
        <v>24</v>
      </c>
      <c r="B22" s="7" t="s">
        <v>10</v>
      </c>
      <c r="C22" s="7" t="s">
        <v>10</v>
      </c>
      <c r="D22" s="7" t="s">
        <v>10</v>
      </c>
      <c r="E22" s="7" t="s">
        <v>10</v>
      </c>
      <c r="F22" s="7" t="s">
        <v>10</v>
      </c>
      <c r="G22" s="7" t="s">
        <v>10</v>
      </c>
      <c r="H22" s="8" t="s">
        <v>96</v>
      </c>
    </row>
    <row r="23" customFormat="false" ht="15" hidden="false" customHeight="false" outlineLevel="0" collapsed="false">
      <c r="A23" s="3" t="s">
        <v>25</v>
      </c>
      <c r="B23" s="4" t="s">
        <v>10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5" t="s">
        <v>97</v>
      </c>
    </row>
    <row r="24" customFormat="false" ht="15" hidden="false" customHeight="false" outlineLevel="0" collapsed="false">
      <c r="A24" s="6" t="s">
        <v>26</v>
      </c>
      <c r="B24" s="7" t="s">
        <v>73</v>
      </c>
      <c r="C24" s="7" t="s">
        <v>10</v>
      </c>
      <c r="D24" s="7" t="s">
        <v>10</v>
      </c>
      <c r="E24" s="7" t="s">
        <v>73</v>
      </c>
      <c r="F24" s="7" t="s">
        <v>10</v>
      </c>
      <c r="G24" s="7" t="s">
        <v>10</v>
      </c>
      <c r="H24" s="8" t="s">
        <v>98</v>
      </c>
    </row>
    <row r="25" customFormat="false" ht="15" hidden="false" customHeight="false" outlineLevel="0" collapsed="false">
      <c r="A25" s="3" t="s">
        <v>27</v>
      </c>
      <c r="B25" s="4" t="s">
        <v>10</v>
      </c>
      <c r="C25" s="4" t="s">
        <v>10</v>
      </c>
      <c r="D25" s="4" t="s">
        <v>10</v>
      </c>
      <c r="E25" s="4" t="s">
        <v>73</v>
      </c>
      <c r="F25" s="4" t="s">
        <v>10</v>
      </c>
      <c r="G25" s="4" t="s">
        <v>10</v>
      </c>
      <c r="H25" s="5" t="s">
        <v>99</v>
      </c>
    </row>
    <row r="26" customFormat="false" ht="15" hidden="false" customHeight="false" outlineLevel="0" collapsed="false">
      <c r="A26" s="6" t="s">
        <v>28</v>
      </c>
      <c r="B26" s="7" t="s">
        <v>10</v>
      </c>
      <c r="C26" s="7" t="s">
        <v>10</v>
      </c>
      <c r="D26" s="7" t="s">
        <v>10</v>
      </c>
      <c r="E26" s="7" t="s">
        <v>10</v>
      </c>
      <c r="F26" s="7" t="s">
        <v>10</v>
      </c>
      <c r="G26" s="7" t="s">
        <v>10</v>
      </c>
      <c r="H26" s="8" t="s">
        <v>100</v>
      </c>
    </row>
    <row r="27" customFormat="false" ht="15" hidden="false" customHeight="false" outlineLevel="0" collapsed="false">
      <c r="A27" s="3" t="s">
        <v>101</v>
      </c>
      <c r="B27" s="4" t="s">
        <v>10</v>
      </c>
      <c r="C27" s="4" t="s">
        <v>73</v>
      </c>
      <c r="D27" s="4" t="s">
        <v>10</v>
      </c>
      <c r="E27" s="4" t="s">
        <v>10</v>
      </c>
      <c r="F27" s="4" t="s">
        <v>10</v>
      </c>
      <c r="G27" s="4" t="s">
        <v>10</v>
      </c>
      <c r="H27" s="5" t="s">
        <v>102</v>
      </c>
    </row>
    <row r="28" customFormat="false" ht="15" hidden="false" customHeight="false" outlineLevel="0" collapsed="false">
      <c r="A28" s="2" t="s">
        <v>29</v>
      </c>
      <c r="B28" s="2"/>
      <c r="C28" s="2"/>
      <c r="D28" s="2"/>
      <c r="E28" s="2"/>
      <c r="F28" s="2"/>
      <c r="G28" s="2"/>
      <c r="H28" s="2"/>
    </row>
    <row r="29" customFormat="false" ht="15" hidden="false" customHeight="false" outlineLevel="0" collapsed="false">
      <c r="A29" s="3" t="s">
        <v>30</v>
      </c>
      <c r="B29" s="4" t="s">
        <v>10</v>
      </c>
      <c r="C29" s="4" t="s">
        <v>73</v>
      </c>
      <c r="D29" s="4" t="s">
        <v>10</v>
      </c>
      <c r="E29" s="4" t="s">
        <v>10</v>
      </c>
      <c r="F29" s="4" t="s">
        <v>10</v>
      </c>
      <c r="G29" s="4" t="s">
        <v>10</v>
      </c>
      <c r="H29" s="5" t="s">
        <v>103</v>
      </c>
    </row>
    <row r="30" customFormat="false" ht="15" hidden="false" customHeight="false" outlineLevel="0" collapsed="false">
      <c r="A30" s="6" t="s">
        <v>31</v>
      </c>
      <c r="B30" s="7" t="s">
        <v>10</v>
      </c>
      <c r="C30" s="7" t="s">
        <v>73</v>
      </c>
      <c r="D30" s="7" t="s">
        <v>10</v>
      </c>
      <c r="E30" s="7" t="s">
        <v>10</v>
      </c>
      <c r="F30" s="7" t="s">
        <v>10</v>
      </c>
      <c r="G30" s="7" t="s">
        <v>10</v>
      </c>
      <c r="H30" s="8" t="s">
        <v>104</v>
      </c>
    </row>
    <row r="31" customFormat="false" ht="15" hidden="false" customHeight="false" outlineLevel="0" collapsed="false">
      <c r="A31" s="3" t="s">
        <v>32</v>
      </c>
      <c r="B31" s="4" t="s">
        <v>10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5" t="s">
        <v>105</v>
      </c>
    </row>
    <row r="32" customFormat="false" ht="15" hidden="false" customHeight="false" outlineLevel="0" collapsed="false">
      <c r="A32" s="6" t="s">
        <v>33</v>
      </c>
      <c r="B32" s="7" t="s">
        <v>10</v>
      </c>
      <c r="C32" s="7" t="s">
        <v>73</v>
      </c>
      <c r="D32" s="7" t="s">
        <v>10</v>
      </c>
      <c r="E32" s="7" t="s">
        <v>10</v>
      </c>
      <c r="F32" s="7" t="s">
        <v>10</v>
      </c>
      <c r="G32" s="7" t="s">
        <v>10</v>
      </c>
      <c r="H32" s="8" t="s">
        <v>106</v>
      </c>
    </row>
    <row r="33" customFormat="false" ht="15" hidden="false" customHeight="false" outlineLevel="0" collapsed="false">
      <c r="A33" s="3" t="s">
        <v>34</v>
      </c>
      <c r="B33" s="4" t="s">
        <v>10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5" t="s">
        <v>107</v>
      </c>
    </row>
    <row r="34" customFormat="false" ht="15" hidden="false" customHeight="false" outlineLevel="0" collapsed="false">
      <c r="A34" s="6" t="s">
        <v>35</v>
      </c>
      <c r="B34" s="7" t="s">
        <v>73</v>
      </c>
      <c r="C34" s="7" t="s">
        <v>10</v>
      </c>
      <c r="D34" s="7" t="s">
        <v>10</v>
      </c>
      <c r="E34" s="7" t="s">
        <v>10</v>
      </c>
      <c r="F34" s="7" t="s">
        <v>10</v>
      </c>
      <c r="G34" s="7" t="s">
        <v>10</v>
      </c>
      <c r="H34" s="8" t="s">
        <v>108</v>
      </c>
    </row>
    <row r="35" customFormat="false" ht="15" hidden="false" customHeight="false" outlineLevel="0" collapsed="false">
      <c r="A35" s="3" t="s">
        <v>36</v>
      </c>
      <c r="B35" s="4" t="s">
        <v>73</v>
      </c>
      <c r="C35" s="4" t="s">
        <v>73</v>
      </c>
      <c r="D35" s="4" t="s">
        <v>10</v>
      </c>
      <c r="E35" s="4" t="s">
        <v>10</v>
      </c>
      <c r="F35" s="4" t="s">
        <v>10</v>
      </c>
      <c r="G35" s="4" t="s">
        <v>10</v>
      </c>
      <c r="H35" s="5" t="s">
        <v>109</v>
      </c>
    </row>
    <row r="36" customFormat="false" ht="15" hidden="false" customHeight="false" outlineLevel="0" collapsed="false">
      <c r="A36" s="6" t="s">
        <v>110</v>
      </c>
      <c r="B36" s="7" t="s">
        <v>10</v>
      </c>
      <c r="C36" s="7" t="s">
        <v>73</v>
      </c>
      <c r="D36" s="7" t="s">
        <v>10</v>
      </c>
      <c r="E36" s="7" t="s">
        <v>10</v>
      </c>
      <c r="F36" s="7" t="s">
        <v>10</v>
      </c>
      <c r="G36" s="7" t="s">
        <v>10</v>
      </c>
      <c r="H36" s="8" t="s">
        <v>111</v>
      </c>
    </row>
    <row r="37" customFormat="false" ht="15" hidden="false" customHeight="false" outlineLevel="0" collapsed="false">
      <c r="A37" s="3" t="s">
        <v>112</v>
      </c>
      <c r="B37" s="4" t="s">
        <v>10</v>
      </c>
      <c r="C37" s="4" t="s">
        <v>73</v>
      </c>
      <c r="D37" s="4" t="s">
        <v>10</v>
      </c>
      <c r="E37" s="4" t="s">
        <v>10</v>
      </c>
      <c r="F37" s="4" t="s">
        <v>10</v>
      </c>
      <c r="G37" s="4" t="s">
        <v>10</v>
      </c>
      <c r="H37" s="5" t="s">
        <v>113</v>
      </c>
    </row>
    <row r="38" customFormat="false" ht="15" hidden="false" customHeight="false" outlineLevel="0" collapsed="false">
      <c r="A38" s="2" t="s">
        <v>37</v>
      </c>
      <c r="B38" s="2"/>
      <c r="C38" s="2"/>
      <c r="D38" s="2"/>
      <c r="E38" s="2"/>
      <c r="F38" s="2"/>
      <c r="G38" s="2"/>
      <c r="H38" s="2"/>
    </row>
    <row r="39" customFormat="false" ht="15" hidden="false" customHeight="false" outlineLevel="0" collapsed="false">
      <c r="A39" s="3" t="s">
        <v>38</v>
      </c>
      <c r="B39" s="4" t="s">
        <v>73</v>
      </c>
      <c r="C39" s="4" t="s">
        <v>73</v>
      </c>
      <c r="D39" s="4" t="s">
        <v>10</v>
      </c>
      <c r="E39" s="4" t="s">
        <v>10</v>
      </c>
      <c r="F39" s="4" t="s">
        <v>10</v>
      </c>
      <c r="G39" s="4" t="s">
        <v>10</v>
      </c>
      <c r="H39" s="5" t="s">
        <v>114</v>
      </c>
    </row>
    <row r="40" customFormat="false" ht="15" hidden="false" customHeight="false" outlineLevel="0" collapsed="false">
      <c r="A40" s="6" t="s">
        <v>39</v>
      </c>
      <c r="B40" s="7" t="s">
        <v>10</v>
      </c>
      <c r="C40" s="7" t="s">
        <v>10</v>
      </c>
      <c r="D40" s="7" t="s">
        <v>10</v>
      </c>
      <c r="E40" s="7" t="s">
        <v>10</v>
      </c>
      <c r="F40" s="7" t="s">
        <v>10</v>
      </c>
      <c r="G40" s="7" t="s">
        <v>10</v>
      </c>
      <c r="H40" s="8" t="s">
        <v>115</v>
      </c>
    </row>
    <row r="41" customFormat="false" ht="15" hidden="false" customHeight="false" outlineLevel="0" collapsed="false">
      <c r="A41" s="3" t="s">
        <v>40</v>
      </c>
      <c r="B41" s="4" t="s">
        <v>73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5" t="s">
        <v>116</v>
      </c>
    </row>
    <row r="42" customFormat="false" ht="15" hidden="false" customHeight="false" outlineLevel="0" collapsed="false">
      <c r="A42" s="6" t="s">
        <v>41</v>
      </c>
      <c r="B42" s="7" t="s">
        <v>73</v>
      </c>
      <c r="C42" s="7" t="s">
        <v>10</v>
      </c>
      <c r="D42" s="7" t="s">
        <v>10</v>
      </c>
      <c r="E42" s="7" t="s">
        <v>10</v>
      </c>
      <c r="F42" s="7" t="s">
        <v>10</v>
      </c>
      <c r="G42" s="7" t="s">
        <v>10</v>
      </c>
      <c r="H42" s="8" t="s">
        <v>117</v>
      </c>
    </row>
    <row r="43" customFormat="false" ht="15" hidden="false" customHeight="false" outlineLevel="0" collapsed="false">
      <c r="A43" s="3" t="s">
        <v>42</v>
      </c>
      <c r="B43" s="4" t="s">
        <v>73</v>
      </c>
      <c r="C43" s="4" t="s">
        <v>73</v>
      </c>
      <c r="D43" s="4" t="s">
        <v>10</v>
      </c>
      <c r="E43" s="4" t="s">
        <v>10</v>
      </c>
      <c r="F43" s="4" t="s">
        <v>10</v>
      </c>
      <c r="G43" s="4" t="s">
        <v>10</v>
      </c>
      <c r="H43" s="5" t="s">
        <v>118</v>
      </c>
    </row>
    <row r="44" customFormat="false" ht="15" hidden="false" customHeight="false" outlineLevel="0" collapsed="false">
      <c r="A44" s="6" t="s">
        <v>43</v>
      </c>
      <c r="B44" s="7" t="s">
        <v>73</v>
      </c>
      <c r="C44" s="7" t="s">
        <v>10</v>
      </c>
      <c r="D44" s="7" t="s">
        <v>10</v>
      </c>
      <c r="E44" s="7" t="s">
        <v>10</v>
      </c>
      <c r="F44" s="7" t="s">
        <v>10</v>
      </c>
      <c r="G44" s="7" t="s">
        <v>10</v>
      </c>
      <c r="H44" s="8" t="s">
        <v>119</v>
      </c>
    </row>
    <row r="45" customFormat="false" ht="15" hidden="false" customHeight="false" outlineLevel="0" collapsed="false">
      <c r="A45" s="3" t="s">
        <v>44</v>
      </c>
      <c r="B45" s="4" t="s">
        <v>73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5" t="s">
        <v>120</v>
      </c>
    </row>
    <row r="46" customFormat="false" ht="15" hidden="false" customHeight="false" outlineLevel="0" collapsed="false">
      <c r="A46" s="6" t="s">
        <v>45</v>
      </c>
      <c r="B46" s="7" t="s">
        <v>73</v>
      </c>
      <c r="C46" s="7" t="s">
        <v>10</v>
      </c>
      <c r="D46" s="7" t="s">
        <v>10</v>
      </c>
      <c r="E46" s="7" t="s">
        <v>10</v>
      </c>
      <c r="F46" s="7" t="s">
        <v>10</v>
      </c>
      <c r="G46" s="7" t="s">
        <v>10</v>
      </c>
      <c r="H46" s="8" t="s">
        <v>121</v>
      </c>
    </row>
    <row r="47" customFormat="false" ht="15" hidden="false" customHeight="false" outlineLevel="0" collapsed="false">
      <c r="A47" s="3" t="s">
        <v>46</v>
      </c>
      <c r="B47" s="4" t="s">
        <v>73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5" t="s">
        <v>122</v>
      </c>
    </row>
    <row r="48" customFormat="false" ht="15" hidden="false" customHeight="false" outlineLevel="0" collapsed="false">
      <c r="A48" s="6" t="s">
        <v>47</v>
      </c>
      <c r="B48" s="7" t="s">
        <v>10</v>
      </c>
      <c r="C48" s="7" t="s">
        <v>73</v>
      </c>
      <c r="D48" s="7" t="s">
        <v>10</v>
      </c>
      <c r="E48" s="7" t="s">
        <v>73</v>
      </c>
      <c r="F48" s="7" t="s">
        <v>10</v>
      </c>
      <c r="G48" s="7" t="s">
        <v>10</v>
      </c>
      <c r="H48" s="8" t="s">
        <v>123</v>
      </c>
    </row>
    <row r="49" customFormat="false" ht="15" hidden="false" customHeight="false" outlineLevel="0" collapsed="false">
      <c r="A49" s="2" t="s">
        <v>124</v>
      </c>
      <c r="B49" s="2"/>
      <c r="C49" s="2"/>
      <c r="D49" s="2"/>
      <c r="E49" s="2"/>
      <c r="F49" s="2"/>
      <c r="G49" s="2"/>
      <c r="H49" s="2"/>
    </row>
    <row r="50" customFormat="false" ht="15" hidden="false" customHeight="false" outlineLevel="0" collapsed="false">
      <c r="A50" s="6" t="s">
        <v>125</v>
      </c>
      <c r="B50" s="7" t="s">
        <v>73</v>
      </c>
      <c r="C50" s="7" t="s">
        <v>73</v>
      </c>
      <c r="D50" s="7" t="s">
        <v>10</v>
      </c>
      <c r="E50" s="7" t="s">
        <v>10</v>
      </c>
      <c r="F50" s="7" t="s">
        <v>10</v>
      </c>
      <c r="G50" s="7" t="s">
        <v>10</v>
      </c>
      <c r="H50" s="8" t="s">
        <v>126</v>
      </c>
    </row>
    <row r="51" customFormat="false" ht="15" hidden="false" customHeight="false" outlineLevel="0" collapsed="false">
      <c r="A51" s="3" t="s">
        <v>127</v>
      </c>
      <c r="B51" s="4" t="s">
        <v>73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5" t="s">
        <v>128</v>
      </c>
    </row>
    <row r="52" customFormat="false" ht="15" hidden="false" customHeight="false" outlineLevel="0" collapsed="false">
      <c r="A52" s="6" t="s">
        <v>129</v>
      </c>
      <c r="B52" s="7" t="s">
        <v>73</v>
      </c>
      <c r="C52" s="7" t="s">
        <v>73</v>
      </c>
      <c r="D52" s="7" t="s">
        <v>10</v>
      </c>
      <c r="E52" s="7" t="s">
        <v>10</v>
      </c>
      <c r="F52" s="7" t="s">
        <v>10</v>
      </c>
      <c r="G52" s="7" t="s">
        <v>10</v>
      </c>
      <c r="H52" s="8" t="s">
        <v>130</v>
      </c>
    </row>
    <row r="53" customFormat="false" ht="15" hidden="false" customHeight="false" outlineLevel="0" collapsed="false">
      <c r="A53" s="3" t="s">
        <v>131</v>
      </c>
      <c r="B53" s="4" t="s">
        <v>73</v>
      </c>
      <c r="C53" s="4" t="s">
        <v>73</v>
      </c>
      <c r="D53" s="4" t="s">
        <v>10</v>
      </c>
      <c r="E53" s="4" t="s">
        <v>10</v>
      </c>
      <c r="F53" s="4" t="s">
        <v>10</v>
      </c>
      <c r="G53" s="4" t="s">
        <v>10</v>
      </c>
      <c r="H53" s="5" t="s">
        <v>132</v>
      </c>
    </row>
    <row r="54" customFormat="false" ht="15" hidden="false" customHeight="false" outlineLevel="0" collapsed="false">
      <c r="A54" s="6" t="s">
        <v>133</v>
      </c>
      <c r="B54" s="7" t="s">
        <v>73</v>
      </c>
      <c r="C54" s="7" t="s">
        <v>10</v>
      </c>
      <c r="D54" s="7" t="s">
        <v>10</v>
      </c>
      <c r="E54" s="7" t="s">
        <v>10</v>
      </c>
      <c r="F54" s="7" t="s">
        <v>10</v>
      </c>
      <c r="G54" s="7" t="s">
        <v>10</v>
      </c>
      <c r="H54" s="8" t="s">
        <v>134</v>
      </c>
    </row>
    <row r="55" customFormat="false" ht="15" hidden="false" customHeight="false" outlineLevel="0" collapsed="false">
      <c r="A55" s="3" t="s">
        <v>135</v>
      </c>
      <c r="B55" s="4" t="s">
        <v>73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5" t="s">
        <v>136</v>
      </c>
    </row>
    <row r="56" customFormat="false" ht="15" hidden="false" customHeight="false" outlineLevel="0" collapsed="false">
      <c r="A56" s="6" t="s">
        <v>137</v>
      </c>
      <c r="B56" s="7" t="s">
        <v>73</v>
      </c>
      <c r="C56" s="7" t="s">
        <v>10</v>
      </c>
      <c r="D56" s="7" t="s">
        <v>10</v>
      </c>
      <c r="E56" s="7" t="s">
        <v>10</v>
      </c>
      <c r="F56" s="7" t="s">
        <v>10</v>
      </c>
      <c r="G56" s="7" t="s">
        <v>10</v>
      </c>
      <c r="H56" s="8" t="s">
        <v>138</v>
      </c>
    </row>
    <row r="57" customFormat="false" ht="15" hidden="false" customHeight="false" outlineLevel="0" collapsed="false">
      <c r="A57" s="3" t="s">
        <v>139</v>
      </c>
      <c r="B57" s="4" t="s">
        <v>73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5" t="s">
        <v>140</v>
      </c>
    </row>
    <row r="58" customFormat="false" ht="15" hidden="false" customHeight="false" outlineLevel="0" collapsed="false">
      <c r="A58" s="2" t="s">
        <v>141</v>
      </c>
      <c r="B58" s="2"/>
      <c r="C58" s="2"/>
      <c r="D58" s="2"/>
      <c r="E58" s="2"/>
      <c r="F58" s="2"/>
      <c r="G58" s="2"/>
      <c r="H58" s="2"/>
    </row>
    <row r="59" customFormat="false" ht="15" hidden="false" customHeight="false" outlineLevel="0" collapsed="false">
      <c r="A59" s="3" t="s">
        <v>142</v>
      </c>
      <c r="B59" s="4" t="s">
        <v>73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5" t="s">
        <v>143</v>
      </c>
    </row>
    <row r="60" customFormat="false" ht="15" hidden="false" customHeight="false" outlineLevel="0" collapsed="false">
      <c r="A60" s="6" t="s">
        <v>144</v>
      </c>
      <c r="B60" s="7" t="s">
        <v>73</v>
      </c>
      <c r="C60" s="7" t="s">
        <v>73</v>
      </c>
      <c r="D60" s="7" t="s">
        <v>10</v>
      </c>
      <c r="E60" s="7" t="s">
        <v>10</v>
      </c>
      <c r="F60" s="7" t="s">
        <v>10</v>
      </c>
      <c r="G60" s="7" t="s">
        <v>10</v>
      </c>
      <c r="H60" s="8" t="s">
        <v>145</v>
      </c>
    </row>
    <row r="61" customFormat="false" ht="15" hidden="false" customHeight="false" outlineLevel="0" collapsed="false">
      <c r="A61" s="3" t="s">
        <v>146</v>
      </c>
      <c r="B61" s="4" t="s">
        <v>73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5" t="s">
        <v>147</v>
      </c>
    </row>
    <row r="62" customFormat="false" ht="15" hidden="false" customHeight="false" outlineLevel="0" collapsed="false">
      <c r="A62" s="6" t="s">
        <v>148</v>
      </c>
      <c r="B62" s="7" t="s">
        <v>73</v>
      </c>
      <c r="C62" s="7" t="s">
        <v>10</v>
      </c>
      <c r="D62" s="7" t="s">
        <v>10</v>
      </c>
      <c r="E62" s="7" t="s">
        <v>10</v>
      </c>
      <c r="F62" s="7" t="s">
        <v>10</v>
      </c>
      <c r="G62" s="7" t="s">
        <v>10</v>
      </c>
      <c r="H62" s="8" t="s">
        <v>149</v>
      </c>
    </row>
    <row r="63" customFormat="false" ht="15" hidden="false" customHeight="false" outlineLevel="0" collapsed="false">
      <c r="A63" s="3" t="s">
        <v>150</v>
      </c>
      <c r="B63" s="4" t="s">
        <v>73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5" t="s">
        <v>151</v>
      </c>
    </row>
    <row r="64" customFormat="false" ht="15" hidden="false" customHeight="false" outlineLevel="0" collapsed="false">
      <c r="A64" s="6" t="s">
        <v>152</v>
      </c>
      <c r="B64" s="7" t="s">
        <v>10</v>
      </c>
      <c r="C64" s="7" t="s">
        <v>73</v>
      </c>
      <c r="D64" s="7" t="s">
        <v>10</v>
      </c>
      <c r="E64" s="7" t="s">
        <v>73</v>
      </c>
      <c r="F64" s="7" t="s">
        <v>10</v>
      </c>
      <c r="G64" s="7" t="s">
        <v>10</v>
      </c>
      <c r="H64" s="8" t="s">
        <v>153</v>
      </c>
    </row>
    <row r="65" customFormat="false" ht="15" hidden="false" customHeight="false" outlineLevel="0" collapsed="false">
      <c r="A65" s="3" t="s">
        <v>154</v>
      </c>
      <c r="B65" s="4" t="s">
        <v>10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5" t="s">
        <v>155</v>
      </c>
    </row>
    <row r="66" customFormat="false" ht="15" hidden="false" customHeight="false" outlineLevel="0" collapsed="false">
      <c r="A66" s="6" t="s">
        <v>156</v>
      </c>
      <c r="B66" s="7" t="s">
        <v>10</v>
      </c>
      <c r="C66" s="7" t="s">
        <v>10</v>
      </c>
      <c r="D66" s="7" t="s">
        <v>10</v>
      </c>
      <c r="E66" s="7" t="s">
        <v>10</v>
      </c>
      <c r="F66" s="7" t="s">
        <v>10</v>
      </c>
      <c r="G66" s="7" t="s">
        <v>10</v>
      </c>
      <c r="H66" s="8" t="s">
        <v>155</v>
      </c>
    </row>
    <row r="67" customFormat="false" ht="15" hidden="false" customHeight="false" outlineLevel="0" collapsed="false">
      <c r="A67" s="2" t="s">
        <v>157</v>
      </c>
      <c r="B67" s="2"/>
      <c r="C67" s="2"/>
      <c r="D67" s="2"/>
      <c r="E67" s="2"/>
      <c r="F67" s="2"/>
      <c r="G67" s="2"/>
      <c r="H67" s="2"/>
    </row>
    <row r="68" customFormat="false" ht="15" hidden="false" customHeight="false" outlineLevel="0" collapsed="false">
      <c r="A68" s="6" t="s">
        <v>158</v>
      </c>
      <c r="B68" s="7" t="s">
        <v>73</v>
      </c>
      <c r="C68" s="7" t="s">
        <v>10</v>
      </c>
      <c r="D68" s="7" t="s">
        <v>10</v>
      </c>
      <c r="E68" s="7" t="s">
        <v>10</v>
      </c>
      <c r="F68" s="7" t="s">
        <v>10</v>
      </c>
      <c r="G68" s="7" t="s">
        <v>10</v>
      </c>
      <c r="H68" s="8" t="s">
        <v>159</v>
      </c>
    </row>
    <row r="69" customFormat="false" ht="15" hidden="false" customHeight="false" outlineLevel="0" collapsed="false">
      <c r="A69" s="3" t="s">
        <v>160</v>
      </c>
      <c r="B69" s="4" t="s">
        <v>73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5" t="s">
        <v>161</v>
      </c>
    </row>
    <row r="70" customFormat="false" ht="15" hidden="false" customHeight="false" outlineLevel="0" collapsed="false">
      <c r="A70" s="6" t="s">
        <v>162</v>
      </c>
      <c r="B70" s="7" t="s">
        <v>73</v>
      </c>
      <c r="C70" s="7" t="s">
        <v>10</v>
      </c>
      <c r="D70" s="7" t="s">
        <v>10</v>
      </c>
      <c r="E70" s="7" t="s">
        <v>10</v>
      </c>
      <c r="F70" s="7" t="s">
        <v>10</v>
      </c>
      <c r="G70" s="7" t="s">
        <v>10</v>
      </c>
      <c r="H70" s="8" t="s">
        <v>163</v>
      </c>
    </row>
    <row r="71" customFormat="false" ht="15" hidden="false" customHeight="false" outlineLevel="0" collapsed="false">
      <c r="A71" s="3" t="s">
        <v>164</v>
      </c>
      <c r="B71" s="4" t="s">
        <v>73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5" t="s">
        <v>165</v>
      </c>
    </row>
    <row r="72" customFormat="false" ht="15" hidden="false" customHeight="false" outlineLevel="0" collapsed="false">
      <c r="A72" s="6" t="s">
        <v>166</v>
      </c>
      <c r="B72" s="7" t="s">
        <v>73</v>
      </c>
      <c r="C72" s="7" t="s">
        <v>10</v>
      </c>
      <c r="D72" s="7" t="s">
        <v>10</v>
      </c>
      <c r="E72" s="7" t="s">
        <v>10</v>
      </c>
      <c r="F72" s="7" t="s">
        <v>10</v>
      </c>
      <c r="G72" s="7" t="s">
        <v>10</v>
      </c>
      <c r="H72" s="8" t="s">
        <v>167</v>
      </c>
    </row>
    <row r="73" customFormat="false" ht="15" hidden="false" customHeight="false" outlineLevel="0" collapsed="false">
      <c r="A73" s="3" t="s">
        <v>168</v>
      </c>
      <c r="B73" s="4" t="s">
        <v>73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5" t="s">
        <v>169</v>
      </c>
    </row>
    <row r="74" customFormat="false" ht="15" hidden="false" customHeight="false" outlineLevel="0" collapsed="false">
      <c r="A74" s="6" t="s">
        <v>170</v>
      </c>
      <c r="B74" s="7" t="s">
        <v>73</v>
      </c>
      <c r="C74" s="7" t="s">
        <v>10</v>
      </c>
      <c r="D74" s="7" t="s">
        <v>10</v>
      </c>
      <c r="E74" s="7" t="s">
        <v>10</v>
      </c>
      <c r="F74" s="7" t="s">
        <v>10</v>
      </c>
      <c r="G74" s="7" t="s">
        <v>10</v>
      </c>
      <c r="H74" s="8" t="s">
        <v>171</v>
      </c>
    </row>
    <row r="75" customFormat="false" ht="15" hidden="false" customHeight="false" outlineLevel="0" collapsed="false">
      <c r="A75" s="3" t="s">
        <v>172</v>
      </c>
      <c r="B75" s="4" t="s">
        <v>73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5" t="s">
        <v>173</v>
      </c>
    </row>
    <row r="76" customFormat="false" ht="15" hidden="false" customHeight="false" outlineLevel="0" collapsed="false">
      <c r="A76" s="6" t="s">
        <v>174</v>
      </c>
      <c r="B76" s="7" t="s">
        <v>73</v>
      </c>
      <c r="C76" s="7" t="s">
        <v>10</v>
      </c>
      <c r="D76" s="7" t="s">
        <v>10</v>
      </c>
      <c r="E76" s="7" t="s">
        <v>10</v>
      </c>
      <c r="F76" s="7" t="s">
        <v>10</v>
      </c>
      <c r="G76" s="7" t="s">
        <v>10</v>
      </c>
      <c r="H76" s="8" t="s">
        <v>175</v>
      </c>
    </row>
    <row r="77" customFormat="false" ht="15" hidden="false" customHeight="false" outlineLevel="0" collapsed="false">
      <c r="A77" s="3" t="s">
        <v>176</v>
      </c>
      <c r="B77" s="4" t="s">
        <v>73</v>
      </c>
      <c r="C77" s="4" t="s">
        <v>10</v>
      </c>
      <c r="D77" s="4" t="s">
        <v>10</v>
      </c>
      <c r="E77" s="4" t="s">
        <v>73</v>
      </c>
      <c r="F77" s="4" t="s">
        <v>10</v>
      </c>
      <c r="G77" s="4" t="s">
        <v>10</v>
      </c>
      <c r="H77" s="5" t="s">
        <v>177</v>
      </c>
    </row>
  </sheetData>
  <conditionalFormatting sqref="B2:B77">
    <cfRule type="cellIs" priority="2" operator="equal" aboveAverage="0" equalAverage="0" bottom="0" percent="0" rank="0" text="" dxfId="0">
      <formula>"TRUE"</formula>
    </cfRule>
    <cfRule type="cellIs" priority="3" operator="equal" aboveAverage="0" equalAverage="0" bottom="0" percent="0" rank="0" text="" dxfId="1">
      <formula>"FALSE"</formula>
    </cfRule>
  </conditionalFormatting>
  <conditionalFormatting sqref="C2:C77">
    <cfRule type="cellIs" priority="4" operator="equal" aboveAverage="0" equalAverage="0" bottom="0" percent="0" rank="0" text="" dxfId="0">
      <formula>"TRUE"</formula>
    </cfRule>
    <cfRule type="cellIs" priority="5" operator="equal" aboveAverage="0" equalAverage="0" bottom="0" percent="0" rank="0" text="" dxfId="1">
      <formula>"FALSE"</formula>
    </cfRule>
  </conditionalFormatting>
  <conditionalFormatting sqref="D2:D77">
    <cfRule type="cellIs" priority="6" operator="equal" aboveAverage="0" equalAverage="0" bottom="0" percent="0" rank="0" text="" dxfId="0">
      <formula>"TRUE"</formula>
    </cfRule>
    <cfRule type="cellIs" priority="7" operator="equal" aboveAverage="0" equalAverage="0" bottom="0" percent="0" rank="0" text="" dxfId="1">
      <formula>"FALSE"</formula>
    </cfRule>
  </conditionalFormatting>
  <conditionalFormatting sqref="E2:E77">
    <cfRule type="cellIs" priority="8" operator="equal" aboveAverage="0" equalAverage="0" bottom="0" percent="0" rank="0" text="" dxfId="0">
      <formula>"TRUE"</formula>
    </cfRule>
    <cfRule type="cellIs" priority="9" operator="equal" aboveAverage="0" equalAverage="0" bottom="0" percent="0" rank="0" text="" dxfId="1">
      <formula>"FALSE"</formula>
    </cfRule>
  </conditionalFormatting>
  <conditionalFormatting sqref="F2:F77">
    <cfRule type="cellIs" priority="10" operator="equal" aboveAverage="0" equalAverage="0" bottom="0" percent="0" rank="0" text="" dxfId="0">
      <formula>"TRUE"</formula>
    </cfRule>
    <cfRule type="cellIs" priority="11" operator="equal" aboveAverage="0" equalAverage="0" bottom="0" percent="0" rank="0" text="" dxfId="1">
      <formula>"FALSE"</formula>
    </cfRule>
  </conditionalFormatting>
  <conditionalFormatting sqref="G2:G77">
    <cfRule type="cellIs" priority="12" operator="equal" aboveAverage="0" equalAverage="0" bottom="0" percent="0" rank="0" text="" dxfId="0">
      <formula>"TRUE"</formula>
    </cfRule>
    <cfRule type="cellIs" priority="13" operator="equal" aboveAverage="0" equalAverage="0" bottom="0" percent="0" rank="0" text="" dxfId="1">
      <formula>"FALSE"</formula>
    </cfRule>
  </conditionalFormatting>
  <dataValidations count="1">
    <dataValidation allowBlank="true" errorStyle="stop" operator="between" showDropDown="false" showErrorMessage="false" showInputMessage="false" sqref="B2:G77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9" min="2" style="0" width="15"/>
  </cols>
  <sheetData>
    <row r="1" customFormat="false" ht="33.75" hidden="false" customHeight="true" outlineLevel="0" collapsed="false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</row>
    <row r="2" customFormat="false" ht="15" hidden="false" customHeight="false" outlineLevel="0" collapsed="false">
      <c r="A2" s="9" t="s">
        <v>8</v>
      </c>
      <c r="B2" s="10" t="n">
        <v>7</v>
      </c>
      <c r="C2" s="11" t="n">
        <f aca="false">COUNTIF('Test Tracker'!B3:B9,"TRUE")/COUNTA('Test Tracker'!B3:B9)</f>
        <v>1</v>
      </c>
      <c r="D2" s="11" t="n">
        <f aca="false">COUNTIF('Test Tracker'!C3:C9,"TRUE")/COUNTA('Test Tracker'!C3:C9)</f>
        <v>0.285714</v>
      </c>
      <c r="E2" s="11" t="n">
        <f aca="false">COUNTIF('Test Tracker'!D3:D9,"TRUE")/COUNTA('Test Tracker'!D3:D9)</f>
        <v>0</v>
      </c>
      <c r="F2" s="11" t="n">
        <f aca="false">COUNTIF('Test Tracker'!E3:E9,"TRUE")/COUNTA('Test Tracker'!E3:E9)</f>
        <v>0.142857</v>
      </c>
      <c r="G2" s="11" t="n">
        <f aca="false">COUNTIF('Test Tracker'!F3:F9,"TRUE")/COUNTA('Test Tracker'!F3:F9)</f>
        <v>0</v>
      </c>
      <c r="H2" s="11" t="n">
        <f aca="false">COUNTIF('Test Tracker'!G3:G9,"TRUE")/COUNTA('Test Tracker'!G3:G9)</f>
        <v>0</v>
      </c>
      <c r="I2" s="12" t="n">
        <f aca="false">COUNTIF('Test Tracker'!B3:G9,"TRUE")/((9-3+1)*6)</f>
        <v>0.238095</v>
      </c>
    </row>
    <row r="3" customFormat="false" ht="15" hidden="false" customHeight="false" outlineLevel="0" collapsed="false">
      <c r="A3" s="9" t="s">
        <v>81</v>
      </c>
      <c r="B3" s="10" t="n">
        <v>4</v>
      </c>
      <c r="C3" s="11" t="n">
        <f aca="false">COUNTIF('Test Tracker'!B11:B14,"TRUE")/COUNTA('Test Tracker'!B11:B14)</f>
        <v>1</v>
      </c>
      <c r="D3" s="11" t="n">
        <f aca="false">COUNTIF('Test Tracker'!C11:C14,"TRUE")/COUNTA('Test Tracker'!C11:C14)</f>
        <v>0.75</v>
      </c>
      <c r="E3" s="11" t="n">
        <f aca="false">COUNTIF('Test Tracker'!D11:D14,"TRUE")/COUNTA('Test Tracker'!D11:D14)</f>
        <v>0</v>
      </c>
      <c r="F3" s="11" t="n">
        <f aca="false">COUNTIF('Test Tracker'!E11:E14,"TRUE")/COUNTA('Test Tracker'!E11:E14)</f>
        <v>0.25</v>
      </c>
      <c r="G3" s="11" t="n">
        <f aca="false">COUNTIF('Test Tracker'!F11:F14,"TRUE")/COUNTA('Test Tracker'!F11:F14)</f>
        <v>0</v>
      </c>
      <c r="H3" s="11" t="n">
        <f aca="false">COUNTIF('Test Tracker'!G11:G14,"TRUE")/COUNTA('Test Tracker'!G11:G14)</f>
        <v>0</v>
      </c>
      <c r="I3" s="12" t="n">
        <f aca="false">COUNTIF('Test Tracker'!B11:G14,"TRUE")/((14-11+1)*6)</f>
        <v>0.333333</v>
      </c>
    </row>
    <row r="4" customFormat="false" ht="15" hidden="false" customHeight="false" outlineLevel="0" collapsed="false">
      <c r="A4" s="9" t="s">
        <v>17</v>
      </c>
      <c r="B4" s="10" t="n">
        <v>12</v>
      </c>
      <c r="C4" s="11" t="n">
        <f aca="false">COUNTIF('Test Tracker'!B16:B27,"TRUE")/COUNTA('Test Tracker'!B16:B27)</f>
        <v>0.333333</v>
      </c>
      <c r="D4" s="11" t="n">
        <f aca="false">COUNTIF('Test Tracker'!C16:C27,"TRUE")/COUNTA('Test Tracker'!C16:C27)</f>
        <v>0.416667</v>
      </c>
      <c r="E4" s="11" t="n">
        <f aca="false">COUNTIF('Test Tracker'!D16:D27,"TRUE")/COUNTA('Test Tracker'!D16:D27)</f>
        <v>0</v>
      </c>
      <c r="F4" s="11" t="n">
        <f aca="false">COUNTIF('Test Tracker'!E16:E27,"TRUE")/COUNTA('Test Tracker'!E16:E27)</f>
        <v>0.166667</v>
      </c>
      <c r="G4" s="11" t="n">
        <f aca="false">COUNTIF('Test Tracker'!F16:F27,"TRUE")/COUNTA('Test Tracker'!F16:F27)</f>
        <v>0</v>
      </c>
      <c r="H4" s="11" t="n">
        <f aca="false">COUNTIF('Test Tracker'!G16:G27,"TRUE")/COUNTA('Test Tracker'!G16:G27)</f>
        <v>0</v>
      </c>
      <c r="I4" s="12" t="n">
        <f aca="false">COUNTIF('Test Tracker'!B16:G27,"TRUE")/((27-16+1)*6)</f>
        <v>0.152778</v>
      </c>
    </row>
    <row r="5" customFormat="false" ht="15" hidden="false" customHeight="false" outlineLevel="0" collapsed="false">
      <c r="A5" s="9" t="s">
        <v>29</v>
      </c>
      <c r="B5" s="10" t="n">
        <v>9</v>
      </c>
      <c r="C5" s="11" t="n">
        <f aca="false">COUNTIF('Test Tracker'!B29:B37,"TRUE")/COUNTA('Test Tracker'!B29:B37)</f>
        <v>0.222222</v>
      </c>
      <c r="D5" s="11" t="n">
        <f aca="false">COUNTIF('Test Tracker'!C29:C37,"TRUE")/COUNTA('Test Tracker'!C29:C37)</f>
        <v>0.666667</v>
      </c>
      <c r="E5" s="11" t="n">
        <f aca="false">COUNTIF('Test Tracker'!D29:D37,"TRUE")/COUNTA('Test Tracker'!D29:D37)</f>
        <v>0</v>
      </c>
      <c r="F5" s="11" t="n">
        <f aca="false">COUNTIF('Test Tracker'!E29:E37,"TRUE")/COUNTA('Test Tracker'!E29:E37)</f>
        <v>0</v>
      </c>
      <c r="G5" s="11" t="n">
        <f aca="false">COUNTIF('Test Tracker'!F29:F37,"TRUE")/COUNTA('Test Tracker'!F29:F37)</f>
        <v>0</v>
      </c>
      <c r="H5" s="11" t="n">
        <f aca="false">COUNTIF('Test Tracker'!G29:G37,"TRUE")/COUNTA('Test Tracker'!G29:G37)</f>
        <v>0</v>
      </c>
      <c r="I5" s="12" t="n">
        <f aca="false">COUNTIF('Test Tracker'!B29:G37,"TRUE")/((37-29+1)*6)</f>
        <v>0.148148</v>
      </c>
    </row>
    <row r="6" customFormat="false" ht="15" hidden="false" customHeight="false" outlineLevel="0" collapsed="false">
      <c r="A6" s="9" t="s">
        <v>37</v>
      </c>
      <c r="B6" s="10" t="n">
        <v>10</v>
      </c>
      <c r="C6" s="11" t="n">
        <f aca="false">COUNTIF('Test Tracker'!B39:B48,"TRUE")/COUNTA('Test Tracker'!B39:B48)</f>
        <v>0.8</v>
      </c>
      <c r="D6" s="11" t="n">
        <f aca="false">COUNTIF('Test Tracker'!C39:C48,"TRUE")/COUNTA('Test Tracker'!C39:C48)</f>
        <v>0.3</v>
      </c>
      <c r="E6" s="11" t="n">
        <f aca="false">COUNTIF('Test Tracker'!D39:D48,"TRUE")/COUNTA('Test Tracker'!D39:D48)</f>
        <v>0</v>
      </c>
      <c r="F6" s="11" t="n">
        <f aca="false">COUNTIF('Test Tracker'!E39:E48,"TRUE")/COUNTA('Test Tracker'!E39:E48)</f>
        <v>0.1</v>
      </c>
      <c r="G6" s="11" t="n">
        <f aca="false">COUNTIF('Test Tracker'!F39:F48,"TRUE")/COUNTA('Test Tracker'!F39:F48)</f>
        <v>0</v>
      </c>
      <c r="H6" s="11" t="n">
        <f aca="false">COUNTIF('Test Tracker'!G39:G48,"TRUE")/COUNTA('Test Tracker'!G39:G48)</f>
        <v>0</v>
      </c>
      <c r="I6" s="12" t="n">
        <f aca="false">COUNTIF('Test Tracker'!B39:G48,"TRUE")/((48-39+1)*6)</f>
        <v>0.2</v>
      </c>
    </row>
    <row r="7" customFormat="false" ht="15" hidden="false" customHeight="false" outlineLevel="0" collapsed="false">
      <c r="A7" s="9" t="s">
        <v>124</v>
      </c>
      <c r="B7" s="10" t="n">
        <v>8</v>
      </c>
      <c r="C7" s="11" t="n">
        <f aca="false">COUNTIF('Test Tracker'!B50:B57,"TRUE")/COUNTA('Test Tracker'!B50:B57)</f>
        <v>1</v>
      </c>
      <c r="D7" s="11" t="n">
        <f aca="false">COUNTIF('Test Tracker'!C50:C57,"TRUE")/COUNTA('Test Tracker'!C50:C57)</f>
        <v>0.375</v>
      </c>
      <c r="E7" s="11" t="n">
        <f aca="false">COUNTIF('Test Tracker'!D50:D57,"TRUE")/COUNTA('Test Tracker'!D50:D57)</f>
        <v>0</v>
      </c>
      <c r="F7" s="11" t="n">
        <f aca="false">COUNTIF('Test Tracker'!E50:E57,"TRUE")/COUNTA('Test Tracker'!E50:E57)</f>
        <v>0</v>
      </c>
      <c r="G7" s="11" t="n">
        <f aca="false">COUNTIF('Test Tracker'!F50:F57,"TRUE")/COUNTA('Test Tracker'!F50:F57)</f>
        <v>0</v>
      </c>
      <c r="H7" s="11" t="n">
        <f aca="false">COUNTIF('Test Tracker'!G50:G57,"TRUE")/COUNTA('Test Tracker'!G50:G57)</f>
        <v>0</v>
      </c>
      <c r="I7" s="12" t="n">
        <f aca="false">COUNTIF('Test Tracker'!B50:G57,"TRUE")/((57-50+1)*6)</f>
        <v>0.229167</v>
      </c>
    </row>
    <row r="8" customFormat="false" ht="15" hidden="false" customHeight="false" outlineLevel="0" collapsed="false">
      <c r="A8" s="9" t="s">
        <v>141</v>
      </c>
      <c r="B8" s="10" t="n">
        <v>8</v>
      </c>
      <c r="C8" s="11" t="n">
        <f aca="false">COUNTIF('Test Tracker'!B59:B66,"TRUE")/COUNTA('Test Tracker'!B59:B66)</f>
        <v>0.625</v>
      </c>
      <c r="D8" s="11" t="n">
        <f aca="false">COUNTIF('Test Tracker'!C59:C66,"TRUE")/COUNTA('Test Tracker'!C59:C66)</f>
        <v>0.25</v>
      </c>
      <c r="E8" s="11" t="n">
        <f aca="false">COUNTIF('Test Tracker'!D59:D66,"TRUE")/COUNTA('Test Tracker'!D59:D66)</f>
        <v>0</v>
      </c>
      <c r="F8" s="11" t="n">
        <f aca="false">COUNTIF('Test Tracker'!E59:E66,"TRUE")/COUNTA('Test Tracker'!E59:E66)</f>
        <v>0.125</v>
      </c>
      <c r="G8" s="11" t="n">
        <f aca="false">COUNTIF('Test Tracker'!F59:F66,"TRUE")/COUNTA('Test Tracker'!F59:F66)</f>
        <v>0</v>
      </c>
      <c r="H8" s="11" t="n">
        <f aca="false">COUNTIF('Test Tracker'!G59:G66,"TRUE")/COUNTA('Test Tracker'!G59:G66)</f>
        <v>0</v>
      </c>
      <c r="I8" s="12" t="n">
        <f aca="false">COUNTIF('Test Tracker'!B59:G66,"TRUE")/((66-59+1)*6)</f>
        <v>0.166667</v>
      </c>
    </row>
    <row r="9" customFormat="false" ht="15" hidden="false" customHeight="false" outlineLevel="0" collapsed="false">
      <c r="A9" s="9" t="s">
        <v>157</v>
      </c>
      <c r="B9" s="10" t="n">
        <v>10</v>
      </c>
      <c r="C9" s="11" t="n">
        <f aca="false">COUNTIF('Test Tracker'!B68:B77,"TRUE")/COUNTA('Test Tracker'!B68:B77)</f>
        <v>1</v>
      </c>
      <c r="D9" s="11" t="n">
        <f aca="false">COUNTIF('Test Tracker'!C68:C77,"TRUE")/COUNTA('Test Tracker'!C68:C77)</f>
        <v>0</v>
      </c>
      <c r="E9" s="11" t="n">
        <f aca="false">COUNTIF('Test Tracker'!D68:D77,"TRUE")/COUNTA('Test Tracker'!D68:D77)</f>
        <v>0</v>
      </c>
      <c r="F9" s="11" t="n">
        <f aca="false">COUNTIF('Test Tracker'!E68:E77,"TRUE")/COUNTA('Test Tracker'!E68:E77)</f>
        <v>0.1</v>
      </c>
      <c r="G9" s="11" t="n">
        <f aca="false">COUNTIF('Test Tracker'!F68:F77,"TRUE")/COUNTA('Test Tracker'!F68:F77)</f>
        <v>0</v>
      </c>
      <c r="H9" s="11" t="n">
        <f aca="false">COUNTIF('Test Tracker'!G68:G77,"TRUE")/COUNTA('Test Tracker'!G68:G77)</f>
        <v>0</v>
      </c>
      <c r="I9" s="12" t="n">
        <f aca="false">COUNTIF('Test Tracker'!B68:G77,"TRUE")/((77-68+1)*6)</f>
        <v>0.183333</v>
      </c>
    </row>
    <row r="10" customFormat="false" ht="15" hidden="false" customHeight="false" outlineLevel="0" collapsed="false">
      <c r="A10" s="13" t="s">
        <v>57</v>
      </c>
      <c r="B10" s="13" t="n">
        <v>68</v>
      </c>
      <c r="C10" s="14" t="n">
        <f aca="false">(COUNTIF('Test Tracker'!B3:B9,"TRUE")+COUNTIF('Test Tracker'!B11:B14,"TRUE")+COUNTIF('Test Tracker'!B16:B27,"TRUE")+COUNTIF('Test Tracker'!B29:B37,"TRUE")+COUNTIF('Test Tracker'!B39:B48,"TRUE")+COUNTIF('Test Tracker'!B50:B57,"TRUE")+COUNTIF('Test Tracker'!B59:B66,"TRUE")+COUNTIF('Test Tracker'!B68:B77,"TRUE"))/(COUNTA('Test Tracker'!B3:B9)+COUNTA('Test Tracker'!B11:B14)+COUNTA('Test Tracker'!B16:B27)+COUNTA('Test Tracker'!B29:B37)+COUNTA('Test Tracker'!B39:B48)+COUNTA('Test Tracker'!B50:B57)+COUNTA('Test Tracker'!B59:B66)+COUNTA('Test Tracker'!B68:B77))</f>
        <v>0.705882</v>
      </c>
      <c r="D10" s="14" t="n">
        <f aca="false">(COUNTIF('Test Tracker'!C3:C9,"TRUE")+COUNTIF('Test Tracker'!C11:C14,"TRUE")+COUNTIF('Test Tracker'!C16:C27,"TRUE")+COUNTIF('Test Tracker'!C29:C37,"TRUE")+COUNTIF('Test Tracker'!C39:C48,"TRUE")+COUNTIF('Test Tracker'!C50:C57,"TRUE")+COUNTIF('Test Tracker'!C59:C66,"TRUE")+COUNTIF('Test Tracker'!C68:C77,"TRUE"))/(COUNTA('Test Tracker'!C3:C9)+COUNTA('Test Tracker'!C11:C14)+COUNTA('Test Tracker'!C16:C27)+COUNTA('Test Tracker'!C29:C37)+COUNTA('Test Tracker'!C39:C48)+COUNTA('Test Tracker'!C50:C57)+COUNTA('Test Tracker'!C59:C66)+COUNTA('Test Tracker'!C68:C77))</f>
        <v>0.352941</v>
      </c>
      <c r="E10" s="14" t="n">
        <f aca="false">(COUNTIF('Test Tracker'!D3:D9,"TRUE")+COUNTIF('Test Tracker'!D11:D14,"TRUE")+COUNTIF('Test Tracker'!D16:D27,"TRUE")+COUNTIF('Test Tracker'!D29:D37,"TRUE")+COUNTIF('Test Tracker'!D39:D48,"TRUE")+COUNTIF('Test Tracker'!D50:D57,"TRUE")+COUNTIF('Test Tracker'!D59:D66,"TRUE")+COUNTIF('Test Tracker'!D68:D77,"TRUE"))/(COUNTA('Test Tracker'!D3:D9)+COUNTA('Test Tracker'!D11:D14)+COUNTA('Test Tracker'!D16:D27)+COUNTA('Test Tracker'!D29:D37)+COUNTA('Test Tracker'!D39:D48)+COUNTA('Test Tracker'!D50:D57)+COUNTA('Test Tracker'!D59:D66)+COUNTA('Test Tracker'!D68:D77))</f>
        <v>0</v>
      </c>
      <c r="F10" s="14" t="n">
        <f aca="false">(COUNTIF('Test Tracker'!E3:E9,"TRUE")+COUNTIF('Test Tracker'!E11:E14,"TRUE")+COUNTIF('Test Tracker'!E16:E27,"TRUE")+COUNTIF('Test Tracker'!E29:E37,"TRUE")+COUNTIF('Test Tracker'!E39:E48,"TRUE")+COUNTIF('Test Tracker'!E50:E57,"TRUE")+COUNTIF('Test Tracker'!E59:E66,"TRUE")+COUNTIF('Test Tracker'!E68:E77,"TRUE"))/(COUNTA('Test Tracker'!E3:E9)+COUNTA('Test Tracker'!E11:E14)+COUNTA('Test Tracker'!E16:E27)+COUNTA('Test Tracker'!E29:E37)+COUNTA('Test Tracker'!E39:E48)+COUNTA('Test Tracker'!E50:E57)+COUNTA('Test Tracker'!E59:E66)+COUNTA('Test Tracker'!E68:E77))</f>
        <v>0.102941</v>
      </c>
      <c r="G10" s="14" t="n">
        <f aca="false">(COUNTIF('Test Tracker'!F3:F9,"TRUE")+COUNTIF('Test Tracker'!F11:F14,"TRUE")+COUNTIF('Test Tracker'!F16:F27,"TRUE")+COUNTIF('Test Tracker'!F29:F37,"TRUE")+COUNTIF('Test Tracker'!F39:F48,"TRUE")+COUNTIF('Test Tracker'!F50:F57,"TRUE")+COUNTIF('Test Tracker'!F59:F66,"TRUE")+COUNTIF('Test Tracker'!F68:F77,"TRUE"))/(COUNTA('Test Tracker'!F3:F9)+COUNTA('Test Tracker'!F11:F14)+COUNTA('Test Tracker'!F16:F27)+COUNTA('Test Tracker'!F29:F37)+COUNTA('Test Tracker'!F39:F48)+COUNTA('Test Tracker'!F50:F57)+COUNTA('Test Tracker'!F59:F66)+COUNTA('Test Tracker'!F68:F77))</f>
        <v>0</v>
      </c>
      <c r="H10" s="14" t="n">
        <f aca="false">(COUNTIF('Test Tracker'!G3:G9,"TRUE")+COUNTIF('Test Tracker'!G11:G14,"TRUE")+COUNTIF('Test Tracker'!G16:G27,"TRUE")+COUNTIF('Test Tracker'!G29:G37,"TRUE")+COUNTIF('Test Tracker'!G39:G48,"TRUE")+COUNTIF('Test Tracker'!G50:G57,"TRUE")+COUNTIF('Test Tracker'!G59:G66,"TRUE")+COUNTIF('Test Tracker'!G68:G77,"TRUE"))/(COUNTA('Test Tracker'!G3:G9)+COUNTA('Test Tracker'!G11:G14)+COUNTA('Test Tracker'!G16:G27)+COUNTA('Test Tracker'!G29:G37)+COUNTA('Test Tracker'!G39:G48)+COUNTA('Test Tracker'!G50:G57)+COUNTA('Test Tracker'!G59:G66)+COUNTA('Test Tracker'!G68:G77))</f>
        <v>0</v>
      </c>
      <c r="I10" s="15" t="n">
        <f aca="false">(COUNTIF('Test Tracker'!B3:G9,"TRUE")+COUNTIF('Test Tracker'!B11:G14,"TRUE")+COUNTIF('Test Tracker'!B16:G27,"TRUE")+COUNTIF('Test Tracker'!B29:G37,"TRUE")+COUNTIF('Test Tracker'!B39:G48,"TRUE")+COUNTIF('Test Tracker'!B50:G57,"TRUE")+COUNTIF('Test Tracker'!B59:G66,"TRUE")+COUNTIF('Test Tracker'!B68:G77,"TRUE"))/(((9-3+1)*6)+((14-11+1)*6)+((27-16+1)*6)+((37-29+1)*6)+((48-39+1)*6)+((57-50+1)*6)+((66-59+1)*6)+((77-68+1)*6))</f>
        <v>0.193627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6" t="s">
        <v>58</v>
      </c>
    </row>
    <row r="2" customFormat="false" ht="15" hidden="false" customHeight="false" outlineLevel="0" collapsed="false">
      <c r="A2" s="17"/>
    </row>
    <row r="3" customFormat="false" ht="15" hidden="false" customHeight="false" outlineLevel="0" collapsed="false">
      <c r="A3" s="17" t="s">
        <v>59</v>
      </c>
    </row>
    <row r="4" customFormat="false" ht="15" hidden="false" customHeight="false" outlineLevel="0" collapsed="false">
      <c r="A4" s="17" t="s">
        <v>60</v>
      </c>
    </row>
    <row r="5" customFormat="false" ht="26.85" hidden="false" customHeight="false" outlineLevel="0" collapsed="false">
      <c r="A5" s="17" t="s">
        <v>61</v>
      </c>
    </row>
    <row r="6" customFormat="false" ht="26.85" hidden="false" customHeight="false" outlineLevel="0" collapsed="false">
      <c r="A6" s="17" t="s">
        <v>62</v>
      </c>
    </row>
    <row r="7" customFormat="false" ht="15" hidden="false" customHeight="false" outlineLevel="0" collapsed="false">
      <c r="A7" s="17" t="s">
        <v>63</v>
      </c>
    </row>
    <row r="8" customFormat="false" ht="15" hidden="false" customHeight="false" outlineLevel="0" collapsed="false">
      <c r="A8" s="17" t="s">
        <v>64</v>
      </c>
    </row>
    <row r="9" customFormat="false" ht="26.85" hidden="false" customHeight="false" outlineLevel="0" collapsed="false">
      <c r="A9" s="17" t="s">
        <v>65</v>
      </c>
    </row>
    <row r="10" customFormat="false" ht="15" hidden="false" customHeight="false" outlineLevel="0" collapsed="false">
      <c r="A10" s="17"/>
    </row>
    <row r="11" customFormat="false" ht="15" hidden="false" customHeight="false" outlineLevel="0" collapsed="false">
      <c r="A11" s="18" t="s">
        <v>66</v>
      </c>
    </row>
    <row r="12" customFormat="false" ht="15" hidden="false" customHeight="false" outlineLevel="0" collapsed="false">
      <c r="A12" s="17" t="s">
        <v>67</v>
      </c>
    </row>
    <row r="13" customFormat="false" ht="15" hidden="false" customHeight="false" outlineLevel="0" collapsed="false">
      <c r="A13" s="17" t="s">
        <v>68</v>
      </c>
    </row>
    <row r="14" customFormat="false" ht="15" hidden="false" customHeight="false" outlineLevel="0" collapsed="false">
      <c r="A14" s="17" t="s">
        <v>69</v>
      </c>
    </row>
    <row r="15" customFormat="false" ht="26.85" hidden="false" customHeight="false" outlineLevel="0" collapsed="false">
      <c r="A15" s="17" t="s">
        <v>70</v>
      </c>
    </row>
    <row r="16" customFormat="false" ht="26.85" hidden="false" customHeight="false" outlineLevel="0" collapsed="false">
      <c r="A16" s="17" t="s">
        <v>71</v>
      </c>
    </row>
    <row r="17" customFormat="false" ht="26.85" hidden="false" customHeight="false" outlineLevel="0" collapsed="false">
      <c r="A17" s="17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2026-07-19T11:11:49Z</dcterms:created>
  <dc:creator>openpyxl</dc:creator>
  <dc:description/>
  <dc:language>en-US</dc:language>
  <cp:lastModifiedBy/>
  <dcterms:modified xsi:type="dcterms:W3CDTF">2026-07-19T11:11:49Z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